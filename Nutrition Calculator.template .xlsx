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gone-my.sharepoint.com/personal/baker_ba_3_pg_com/Documents/aPHC/Nutrition OH 222 conversion 2022/New Drafts/"/>
    </mc:Choice>
  </mc:AlternateContent>
  <xr:revisionPtr revIDLastSave="0" documentId="8_{75263FC8-DA01-47BF-B4DF-B24769CD04E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Formula list and Reference Docs" sheetId="29" r:id="rId1"/>
    <sheet name="Ingredients" sheetId="1" r:id="rId2"/>
    <sheet name="COMPARISON" sheetId="9" r:id="rId3"/>
    <sheet name="Formulation STONF" sheetId="10" r:id="rId4"/>
    <sheet name="Nutrition STONF" sheetId="11" r:id="rId5"/>
    <sheet name="Formulation STONF2" sheetId="31" r:id="rId6"/>
    <sheet name="Nutrition STONF2" sheetId="32" r:id="rId7"/>
    <sheet name="Formulation Saguaro" sheetId="37" r:id="rId8"/>
    <sheet name="Nutrition Saguaro" sheetId="38" r:id="rId9"/>
    <sheet name="Formulation STOF2" sheetId="5" r:id="rId10"/>
    <sheet name="Nutrition STOF2" sheetId="12" r:id="rId11"/>
    <sheet name="Formulation STOF" sheetId="7" r:id="rId12"/>
    <sheet name="Nutrition STOF" sheetId="6" r:id="rId13"/>
    <sheet name="Formulation STOS" sheetId="13" r:id="rId14"/>
    <sheet name="Nutrition STOS" sheetId="14" r:id="rId15"/>
    <sheet name="Formulation STOS2" sheetId="15" r:id="rId16"/>
    <sheet name="Nutrition STOS2" sheetId="16" r:id="rId17"/>
    <sheet name="Formulation STR" sheetId="17" r:id="rId18"/>
    <sheet name="Nutrition STR" sheetId="18" r:id="rId19"/>
    <sheet name="Formulation STCFX" sheetId="19" r:id="rId20"/>
    <sheet name="Nutrition STCFX" sheetId="21" r:id="rId21"/>
    <sheet name="Formulation STCF" sheetId="20" r:id="rId22"/>
    <sheet name="Nutrition STCF" sheetId="22" r:id="rId23"/>
    <sheet name="Formulation STONFC" sheetId="23" r:id="rId24"/>
    <sheet name="Nutrition STONFC" sheetId="24" r:id="rId25"/>
    <sheet name="Formulation OTO" sheetId="25" r:id="rId26"/>
    <sheet name="Nutrition OTO" sheetId="26" r:id="rId27"/>
    <sheet name="Formulation OTR" sheetId="27" r:id="rId28"/>
    <sheet name="Nutrition OTR" sheetId="28" r:id="rId29"/>
    <sheet name="Formulation Husky" sheetId="33" r:id="rId30"/>
    <sheet name="Nutrition Husky" sheetId="34" r:id="rId31"/>
    <sheet name="Net contents calculation" sheetId="4" r:id="rId32"/>
    <sheet name="Formulation Arches Caps" sheetId="35" r:id="rId33"/>
    <sheet name="Nutrition Arches Caps" sheetId="36" r:id="rId3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0" l="1"/>
  <c r="F5" i="9"/>
  <c r="D14" i="37"/>
  <c r="D8" i="37"/>
  <c r="D10" i="37"/>
  <c r="F71" i="38"/>
  <c r="D71" i="38"/>
  <c r="F70" i="38"/>
  <c r="D70" i="38"/>
  <c r="F69" i="38"/>
  <c r="D69" i="38"/>
  <c r="F68" i="38"/>
  <c r="D68" i="38"/>
  <c r="F67" i="38"/>
  <c r="D67" i="38"/>
  <c r="F66" i="38"/>
  <c r="D66" i="38"/>
  <c r="F65" i="38"/>
  <c r="D65" i="38"/>
  <c r="F64" i="38"/>
  <c r="D64" i="38"/>
  <c r="F63" i="38"/>
  <c r="D63" i="38"/>
  <c r="F62" i="38"/>
  <c r="D62" i="38"/>
  <c r="F61" i="38"/>
  <c r="D61" i="38"/>
  <c r="F60" i="38"/>
  <c r="D60" i="38"/>
  <c r="F59" i="38"/>
  <c r="D59" i="38"/>
  <c r="F58" i="38"/>
  <c r="D58" i="38"/>
  <c r="F57" i="38"/>
  <c r="F56" i="38"/>
  <c r="D56" i="38"/>
  <c r="F55" i="38"/>
  <c r="D55" i="38"/>
  <c r="F54" i="38"/>
  <c r="D54" i="38"/>
  <c r="F53" i="38"/>
  <c r="D53" i="38"/>
  <c r="A3" i="38"/>
  <c r="D2" i="38"/>
  <c r="W18" i="37"/>
  <c r="V18" i="37"/>
  <c r="Q18" i="37"/>
  <c r="H18" i="37"/>
  <c r="D18" i="37"/>
  <c r="U18" i="37" s="1"/>
  <c r="Q17" i="37"/>
  <c r="P17" i="37"/>
  <c r="O17" i="37"/>
  <c r="N17" i="37"/>
  <c r="D17" i="37"/>
  <c r="M17" i="37" s="1"/>
  <c r="N15" i="37"/>
  <c r="D15" i="37"/>
  <c r="K15" i="37" s="1"/>
  <c r="Q14" i="37"/>
  <c r="C12" i="37"/>
  <c r="C8" i="37"/>
  <c r="D16" i="37"/>
  <c r="D6" i="37"/>
  <c r="E9" i="38" a="1"/>
  <c r="G37" i="38" a="1"/>
  <c r="C37" i="38" a="1"/>
  <c r="G2" i="38" a="1"/>
  <c r="F37" i="38" a="1"/>
  <c r="D9" i="38" a="1"/>
  <c r="C9" i="38" a="1"/>
  <c r="E37" i="38" a="1"/>
  <c r="M15" i="37" l="1"/>
  <c r="K18" i="37"/>
  <c r="L18" i="37"/>
  <c r="J18" i="37"/>
  <c r="O15" i="37"/>
  <c r="M18" i="37"/>
  <c r="I18" i="37"/>
  <c r="P15" i="37"/>
  <c r="N18" i="37"/>
  <c r="L15" i="37"/>
  <c r="Q15" i="37"/>
  <c r="O18" i="37"/>
  <c r="P18" i="37"/>
  <c r="E37" i="38"/>
  <c r="D9" i="38"/>
  <c r="F37" i="38"/>
  <c r="C9" i="38"/>
  <c r="E9" i="38"/>
  <c r="G37" i="38"/>
  <c r="C37" i="38"/>
  <c r="G2" i="38"/>
  <c r="S16" i="37"/>
  <c r="E16" i="37"/>
  <c r="P16" i="37"/>
  <c r="L16" i="37"/>
  <c r="V16" i="37"/>
  <c r="T16" i="37"/>
  <c r="R16" i="37"/>
  <c r="Q16" i="37"/>
  <c r="O16" i="37"/>
  <c r="N16" i="37"/>
  <c r="M16" i="37"/>
  <c r="K16" i="37"/>
  <c r="J16" i="37"/>
  <c r="W16" i="37"/>
  <c r="I16" i="37"/>
  <c r="H16" i="37"/>
  <c r="U16" i="37"/>
  <c r="G16" i="37"/>
  <c r="F16" i="37"/>
  <c r="H17" i="37"/>
  <c r="V17" i="37"/>
  <c r="R14" i="37"/>
  <c r="F14" i="37"/>
  <c r="T14" i="37"/>
  <c r="G14" i="37"/>
  <c r="U14" i="37"/>
  <c r="R17" i="37"/>
  <c r="E17" i="37"/>
  <c r="S17" i="37"/>
  <c r="K14" i="37"/>
  <c r="E15" i="37"/>
  <c r="S15" i="37"/>
  <c r="G17" i="37"/>
  <c r="U17" i="37"/>
  <c r="L14" i="37"/>
  <c r="T15" i="37"/>
  <c r="M14" i="37"/>
  <c r="G15" i="37"/>
  <c r="U15" i="37"/>
  <c r="I17" i="37"/>
  <c r="W17" i="37"/>
  <c r="H15" i="37"/>
  <c r="I15" i="37"/>
  <c r="K17" i="37"/>
  <c r="S18" i="37"/>
  <c r="P14" i="37"/>
  <c r="J15" i="37"/>
  <c r="L17" i="37"/>
  <c r="F18" i="37"/>
  <c r="T18" i="37"/>
  <c r="E14" i="37"/>
  <c r="S14" i="37"/>
  <c r="H14" i="37"/>
  <c r="V14" i="37"/>
  <c r="I14" i="37"/>
  <c r="W14" i="37"/>
  <c r="J14" i="37"/>
  <c r="R15" i="37"/>
  <c r="F17" i="37"/>
  <c r="T17" i="37"/>
  <c r="F15" i="37"/>
  <c r="N14" i="37"/>
  <c r="V15" i="37"/>
  <c r="J17" i="37"/>
  <c r="R18" i="37"/>
  <c r="O14" i="37"/>
  <c r="W15" i="37"/>
  <c r="E18" i="37"/>
  <c r="G18" i="37"/>
  <c r="G3" i="38" a="1"/>
  <c r="Q8" i="37" l="1"/>
  <c r="Q10" i="37" s="1"/>
  <c r="P8" i="37"/>
  <c r="O8" i="37"/>
  <c r="W8" i="37"/>
  <c r="V8" i="37"/>
  <c r="H8" i="37"/>
  <c r="U8" i="37"/>
  <c r="G3" i="38"/>
  <c r="L8" i="37"/>
  <c r="F8" i="37"/>
  <c r="S8" i="37"/>
  <c r="R8" i="37"/>
  <c r="K8" i="37"/>
  <c r="I8" i="37"/>
  <c r="T8" i="37"/>
  <c r="G8" i="37"/>
  <c r="N8" i="37"/>
  <c r="J8" i="37"/>
  <c r="M8" i="37"/>
  <c r="E24" i="38" a="1"/>
  <c r="C10" i="38" a="1"/>
  <c r="D24" i="38" a="1"/>
  <c r="E31" i="38" a="1"/>
  <c r="D10" i="38" a="1"/>
  <c r="D38" i="38" a="1"/>
  <c r="E17" i="38" a="1"/>
  <c r="E38" i="38" a="1"/>
  <c r="F38" i="38" a="1"/>
  <c r="G38" i="38" a="1"/>
  <c r="F24" i="38" a="1"/>
  <c r="D17" i="38" a="1"/>
  <c r="C17" i="38" a="1"/>
  <c r="C24" i="38" a="1"/>
  <c r="F31" i="38" a="1"/>
  <c r="D31" i="38" a="1"/>
  <c r="C31" i="38" a="1"/>
  <c r="E10" i="38" a="1"/>
  <c r="D17" i="38" l="1"/>
  <c r="D19" i="38" s="1"/>
  <c r="F31" i="38"/>
  <c r="C24" i="38"/>
  <c r="E31" i="38"/>
  <c r="D24" i="38"/>
  <c r="F24" i="38"/>
  <c r="C31" i="38"/>
  <c r="C10" i="38"/>
  <c r="C12" i="38" s="1"/>
  <c r="G38" i="38"/>
  <c r="G40" i="38" s="1"/>
  <c r="E24" i="38"/>
  <c r="E26" i="38" s="1"/>
  <c r="F38" i="38"/>
  <c r="F40" i="38" s="1"/>
  <c r="E10" i="38"/>
  <c r="E38" i="38"/>
  <c r="D31" i="38"/>
  <c r="E17" i="38"/>
  <c r="E19" i="38" s="1"/>
  <c r="D38" i="38"/>
  <c r="D10" i="38"/>
  <c r="D12" i="38" s="1"/>
  <c r="C17" i="38"/>
  <c r="C19" i="38" s="1"/>
  <c r="J10" i="37"/>
  <c r="T10" i="37"/>
  <c r="I10" i="37"/>
  <c r="U10" i="37"/>
  <c r="W10" i="37"/>
  <c r="G10" i="37"/>
  <c r="K10" i="37"/>
  <c r="R10" i="37"/>
  <c r="V10" i="37"/>
  <c r="O10" i="37"/>
  <c r="M10" i="37"/>
  <c r="N10" i="37"/>
  <c r="H10" i="37"/>
  <c r="S10" i="37"/>
  <c r="F10" i="37"/>
  <c r="L10" i="37"/>
  <c r="P10" i="37"/>
  <c r="C7" i="38" l="1"/>
  <c r="C38" i="38" s="1"/>
  <c r="C6" i="38"/>
  <c r="C5" i="38"/>
  <c r="AE12" i="33" l="1"/>
  <c r="G2" i="34" a="1"/>
  <c r="G2" i="34" l="1"/>
  <c r="E14" i="4"/>
  <c r="AA8" i="35" l="1"/>
  <c r="Z11" i="35" l="1"/>
  <c r="Z7" i="35"/>
  <c r="AA7" i="35" s="1"/>
  <c r="AB7" i="35" s="1"/>
  <c r="AA6" i="35"/>
  <c r="AA5" i="35"/>
  <c r="H20" i="12" l="1"/>
  <c r="G20" i="12"/>
  <c r="C8" i="5"/>
  <c r="R15" i="35" l="1"/>
  <c r="Q15" i="35"/>
  <c r="P15" i="35"/>
  <c r="O15" i="35"/>
  <c r="M15" i="35"/>
  <c r="L15" i="35"/>
  <c r="K15" i="35"/>
  <c r="D15" i="35"/>
  <c r="J15" i="35" s="1"/>
  <c r="G41" i="36"/>
  <c r="F41" i="36"/>
  <c r="E41" i="36"/>
  <c r="D41" i="36"/>
  <c r="C41" i="36"/>
  <c r="F34" i="36"/>
  <c r="E34" i="36"/>
  <c r="D34" i="36"/>
  <c r="C34" i="36"/>
  <c r="F27" i="36"/>
  <c r="E27" i="36"/>
  <c r="D27" i="36"/>
  <c r="C27" i="36"/>
  <c r="E20" i="36"/>
  <c r="D20" i="36"/>
  <c r="C20" i="36"/>
  <c r="E13" i="36"/>
  <c r="D13" i="36"/>
  <c r="C13" i="36"/>
  <c r="A3" i="36"/>
  <c r="D2" i="36"/>
  <c r="C12" i="35"/>
  <c r="C8" i="35"/>
  <c r="D14" i="35"/>
  <c r="E14" i="35" s="1"/>
  <c r="D6" i="35"/>
  <c r="E9" i="36" a="1"/>
  <c r="N15" i="35" l="1"/>
  <c r="S15" i="35"/>
  <c r="F15" i="35"/>
  <c r="T15" i="35"/>
  <c r="G15" i="35"/>
  <c r="U15" i="35"/>
  <c r="V15" i="35"/>
  <c r="E15" i="35"/>
  <c r="E8" i="35" s="1"/>
  <c r="E10" i="35" s="1"/>
  <c r="I15" i="35"/>
  <c r="W15" i="35"/>
  <c r="H15" i="35"/>
  <c r="E9" i="36"/>
  <c r="J14" i="35"/>
  <c r="J8" i="35" s="1"/>
  <c r="J10" i="35" s="1"/>
  <c r="I14" i="35"/>
  <c r="H14" i="35"/>
  <c r="W14" i="35"/>
  <c r="V14" i="35"/>
  <c r="U14" i="35"/>
  <c r="G14" i="35"/>
  <c r="F14" i="35"/>
  <c r="D8" i="35"/>
  <c r="T14" i="35"/>
  <c r="S14" i="35"/>
  <c r="R14" i="35"/>
  <c r="R8" i="35" s="1"/>
  <c r="R10" i="35" s="1"/>
  <c r="Q14" i="35"/>
  <c r="Q8" i="35" s="1"/>
  <c r="Q10" i="35" s="1"/>
  <c r="P14" i="35"/>
  <c r="P8" i="35" s="1"/>
  <c r="P10" i="35" s="1"/>
  <c r="O14" i="35"/>
  <c r="O8" i="35" s="1"/>
  <c r="O10" i="35" s="1"/>
  <c r="N14" i="35"/>
  <c r="M14" i="35"/>
  <c r="M8" i="35" s="1"/>
  <c r="M10" i="35" s="1"/>
  <c r="L14" i="35"/>
  <c r="L8" i="35" s="1"/>
  <c r="L10" i="35" s="1"/>
  <c r="K14" i="35"/>
  <c r="K8" i="35" s="1"/>
  <c r="K10" i="35" s="1"/>
  <c r="C9" i="36" a="1"/>
  <c r="C23" i="36" a="1"/>
  <c r="F31" i="36" a="1"/>
  <c r="F38" i="36" a="1"/>
  <c r="C17" i="36" a="1"/>
  <c r="D9" i="36" a="1"/>
  <c r="F37" i="36" a="1"/>
  <c r="C10" i="36" a="1"/>
  <c r="G37" i="36" a="1"/>
  <c r="F23" i="36" a="1"/>
  <c r="D16" i="36" a="1"/>
  <c r="D17" i="36" a="1"/>
  <c r="G38" i="36" a="1"/>
  <c r="E16" i="36" a="1"/>
  <c r="G3" i="36" a="1"/>
  <c r="C37" i="36" a="1"/>
  <c r="D10" i="36" a="1"/>
  <c r="E37" i="36" a="1"/>
  <c r="E10" i="36" a="1"/>
  <c r="D23" i="36" a="1"/>
  <c r="G2" i="36" a="1"/>
  <c r="E23" i="36" a="1"/>
  <c r="C16" i="36" a="1"/>
  <c r="N8" i="35" l="1"/>
  <c r="S8" i="35"/>
  <c r="H8" i="35"/>
  <c r="I8" i="35"/>
  <c r="T8" i="35"/>
  <c r="G8" i="35"/>
  <c r="U8" i="35"/>
  <c r="V8" i="35"/>
  <c r="W8" i="35"/>
  <c r="F8" i="35"/>
  <c r="F10" i="35" s="1"/>
  <c r="C9" i="36"/>
  <c r="G37" i="36"/>
  <c r="E37" i="36"/>
  <c r="G2" i="36"/>
  <c r="C16" i="36"/>
  <c r="D10" i="36"/>
  <c r="D12" i="36" s="1"/>
  <c r="C37" i="36"/>
  <c r="D9" i="36"/>
  <c r="E10" i="36"/>
  <c r="E16" i="36"/>
  <c r="E23" i="36"/>
  <c r="F23" i="36"/>
  <c r="C17" i="36"/>
  <c r="C19" i="36" s="1"/>
  <c r="F31" i="36"/>
  <c r="D16" i="36"/>
  <c r="G38" i="36"/>
  <c r="G40" i="36" s="1"/>
  <c r="F37" i="36"/>
  <c r="F38" i="36"/>
  <c r="F40" i="36" s="1"/>
  <c r="D17" i="36"/>
  <c r="D19" i="36" s="1"/>
  <c r="D23" i="36"/>
  <c r="C10" i="36"/>
  <c r="C12" i="36" s="1"/>
  <c r="G3" i="36"/>
  <c r="C23" i="36"/>
  <c r="C24" i="36" a="1"/>
  <c r="D31" i="36" a="1"/>
  <c r="E24" i="36" a="1"/>
  <c r="D38" i="36" a="1"/>
  <c r="C31" i="36" a="1"/>
  <c r="F24" i="36" a="1"/>
  <c r="E17" i="36" a="1"/>
  <c r="E31" i="36" a="1"/>
  <c r="E38" i="36" a="1"/>
  <c r="D24" i="36" a="1"/>
  <c r="E38" i="36" l="1"/>
  <c r="E17" i="36"/>
  <c r="E19" i="36" s="1"/>
  <c r="N10" i="35"/>
  <c r="S10" i="35"/>
  <c r="D31" i="36"/>
  <c r="H10" i="35"/>
  <c r="E31" i="36"/>
  <c r="I10" i="35"/>
  <c r="C24" i="36"/>
  <c r="T10" i="35"/>
  <c r="C31" i="36"/>
  <c r="G10" i="35"/>
  <c r="D24" i="36"/>
  <c r="U10" i="35"/>
  <c r="F24" i="36"/>
  <c r="E24" i="36"/>
  <c r="E26" i="36" s="1"/>
  <c r="W10" i="35"/>
  <c r="V10" i="35"/>
  <c r="D38" i="36"/>
  <c r="C7" i="36" l="1"/>
  <c r="C38" i="36" s="1"/>
  <c r="C6" i="36"/>
  <c r="C5" i="36"/>
  <c r="C8" i="33" l="1"/>
  <c r="D10" i="5" l="1"/>
  <c r="D14" i="5"/>
  <c r="D6" i="5"/>
  <c r="A3" i="34"/>
  <c r="G41" i="34"/>
  <c r="F41" i="34"/>
  <c r="E41" i="34"/>
  <c r="D41" i="34"/>
  <c r="C41" i="34"/>
  <c r="F34" i="34"/>
  <c r="E34" i="34"/>
  <c r="D34" i="34"/>
  <c r="C34" i="34"/>
  <c r="F27" i="34"/>
  <c r="E27" i="34"/>
  <c r="D27" i="34"/>
  <c r="C27" i="34"/>
  <c r="E20" i="34"/>
  <c r="D20" i="34"/>
  <c r="C20" i="34"/>
  <c r="E13" i="34"/>
  <c r="D13" i="34"/>
  <c r="C13" i="34"/>
  <c r="D2" i="34"/>
  <c r="C12" i="33"/>
  <c r="D6" i="33"/>
  <c r="D70" i="6"/>
  <c r="D58" i="6"/>
  <c r="D66" i="6"/>
  <c r="D65" i="6"/>
  <c r="D64" i="6"/>
  <c r="D62" i="6"/>
  <c r="D61" i="6"/>
  <c r="D60" i="6"/>
  <c r="D59" i="6"/>
  <c r="D57" i="6"/>
  <c r="D56" i="6"/>
  <c r="D55" i="6"/>
  <c r="D54" i="6"/>
  <c r="D53" i="6"/>
  <c r="F71" i="6"/>
  <c r="D71" i="6"/>
  <c r="F70" i="6"/>
  <c r="F69" i="6"/>
  <c r="D69" i="6"/>
  <c r="F68" i="6"/>
  <c r="D68" i="6"/>
  <c r="F67" i="6"/>
  <c r="D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L28" i="1"/>
  <c r="F71" i="32"/>
  <c r="D71" i="32"/>
  <c r="F70" i="32"/>
  <c r="D70" i="32"/>
  <c r="F69" i="32"/>
  <c r="D69" i="32"/>
  <c r="F68" i="32"/>
  <c r="D68" i="32"/>
  <c r="F67" i="32"/>
  <c r="D67" i="32"/>
  <c r="F66" i="32"/>
  <c r="D66" i="32"/>
  <c r="F65" i="32"/>
  <c r="D65" i="32"/>
  <c r="F64" i="32"/>
  <c r="D64" i="32"/>
  <c r="F63" i="32"/>
  <c r="D63" i="32"/>
  <c r="F62" i="32"/>
  <c r="D62" i="32"/>
  <c r="F61" i="32"/>
  <c r="D61" i="32"/>
  <c r="F60" i="32"/>
  <c r="D60" i="32"/>
  <c r="F59" i="32"/>
  <c r="D59" i="32"/>
  <c r="F58" i="32"/>
  <c r="D58" i="32"/>
  <c r="F57" i="32"/>
  <c r="F56" i="32"/>
  <c r="D56" i="32"/>
  <c r="F55" i="32"/>
  <c r="D55" i="32"/>
  <c r="F54" i="32"/>
  <c r="D54" i="32"/>
  <c r="F53" i="32"/>
  <c r="D53" i="32"/>
  <c r="A3" i="32"/>
  <c r="D2" i="32"/>
  <c r="D20" i="31"/>
  <c r="W20" i="31" s="1"/>
  <c r="W19" i="31"/>
  <c r="V19" i="31"/>
  <c r="D19" i="31"/>
  <c r="U19" i="31" s="1"/>
  <c r="W18" i="31"/>
  <c r="V18" i="31"/>
  <c r="U18" i="31"/>
  <c r="T18" i="31"/>
  <c r="D18" i="31"/>
  <c r="S18" i="31" s="1"/>
  <c r="W17" i="31"/>
  <c r="V17" i="31"/>
  <c r="U17" i="31"/>
  <c r="T17" i="31"/>
  <c r="S17" i="31"/>
  <c r="R17" i="31"/>
  <c r="D17" i="31"/>
  <c r="Q17" i="31" s="1"/>
  <c r="W16" i="31"/>
  <c r="V16" i="31"/>
  <c r="U16" i="31"/>
  <c r="T16" i="31"/>
  <c r="S16" i="31"/>
  <c r="R16" i="31"/>
  <c r="Q16" i="31"/>
  <c r="P16" i="31"/>
  <c r="D16" i="31"/>
  <c r="O16" i="31" s="1"/>
  <c r="W15" i="31"/>
  <c r="V15" i="31"/>
  <c r="U15" i="31"/>
  <c r="T15" i="31"/>
  <c r="S15" i="31"/>
  <c r="R15" i="31"/>
  <c r="Q15" i="31"/>
  <c r="P15" i="31"/>
  <c r="O15" i="31"/>
  <c r="N15" i="31"/>
  <c r="D15" i="31"/>
  <c r="M15" i="31" s="1"/>
  <c r="W14" i="31"/>
  <c r="V14" i="31"/>
  <c r="U14" i="31"/>
  <c r="T14" i="31"/>
  <c r="S14" i="31"/>
  <c r="R14" i="31"/>
  <c r="Q14" i="31"/>
  <c r="P14" i="31"/>
  <c r="O14" i="31"/>
  <c r="N14" i="31"/>
  <c r="M14" i="31"/>
  <c r="L14" i="31"/>
  <c r="D14" i="31"/>
  <c r="K14" i="31" s="1"/>
  <c r="C12" i="31"/>
  <c r="D10" i="31"/>
  <c r="C8" i="31"/>
  <c r="C7" i="31"/>
  <c r="D6" i="31"/>
  <c r="G39" i="24"/>
  <c r="F39" i="24"/>
  <c r="E39" i="24"/>
  <c r="D39" i="24"/>
  <c r="C39" i="24"/>
  <c r="D37" i="24"/>
  <c r="F32" i="24"/>
  <c r="E32" i="24"/>
  <c r="D32" i="24"/>
  <c r="C32" i="24"/>
  <c r="F30" i="24"/>
  <c r="E30" i="24"/>
  <c r="D30" i="24"/>
  <c r="C30" i="24"/>
  <c r="F25" i="24"/>
  <c r="E25" i="24"/>
  <c r="D25" i="24"/>
  <c r="C25" i="24"/>
  <c r="F23" i="24"/>
  <c r="E23" i="24"/>
  <c r="D23" i="24"/>
  <c r="C23" i="24"/>
  <c r="E18" i="24"/>
  <c r="D18" i="24"/>
  <c r="C18" i="24"/>
  <c r="E16" i="24"/>
  <c r="D16" i="24"/>
  <c r="C16" i="24"/>
  <c r="E11" i="24"/>
  <c r="D11" i="24"/>
  <c r="C11" i="24"/>
  <c r="G39" i="22"/>
  <c r="F39" i="22"/>
  <c r="E39" i="22"/>
  <c r="D39" i="22"/>
  <c r="C39" i="22"/>
  <c r="D37" i="22"/>
  <c r="F32" i="22"/>
  <c r="E32" i="22"/>
  <c r="D32" i="22"/>
  <c r="C32" i="22"/>
  <c r="E30" i="22"/>
  <c r="D30" i="22"/>
  <c r="C30" i="22"/>
  <c r="F30" i="22"/>
  <c r="F25" i="22"/>
  <c r="E25" i="22"/>
  <c r="D25" i="22"/>
  <c r="C25" i="22"/>
  <c r="F23" i="22"/>
  <c r="E23" i="22"/>
  <c r="D23" i="22"/>
  <c r="C23" i="22"/>
  <c r="E18" i="22"/>
  <c r="D18" i="22"/>
  <c r="C18" i="22"/>
  <c r="E16" i="22"/>
  <c r="D16" i="22"/>
  <c r="C16" i="22"/>
  <c r="E11" i="22"/>
  <c r="D11" i="22"/>
  <c r="C11" i="22"/>
  <c r="G39" i="21"/>
  <c r="F39" i="21"/>
  <c r="E39" i="21"/>
  <c r="D39" i="21"/>
  <c r="C39" i="21"/>
  <c r="D37" i="21"/>
  <c r="F32" i="21"/>
  <c r="E32" i="21"/>
  <c r="D32" i="21"/>
  <c r="C32" i="21"/>
  <c r="F30" i="21"/>
  <c r="E30" i="21"/>
  <c r="D30" i="21"/>
  <c r="C30" i="21"/>
  <c r="F25" i="21"/>
  <c r="E25" i="21"/>
  <c r="D25" i="21"/>
  <c r="C25" i="21"/>
  <c r="F23" i="21"/>
  <c r="E23" i="21"/>
  <c r="D23" i="21"/>
  <c r="C23" i="21"/>
  <c r="E18" i="21"/>
  <c r="D18" i="21"/>
  <c r="C18" i="21"/>
  <c r="E16" i="21"/>
  <c r="D16" i="21"/>
  <c r="C16" i="21"/>
  <c r="E11" i="21"/>
  <c r="D11" i="21"/>
  <c r="C11" i="21"/>
  <c r="G39" i="18"/>
  <c r="F39" i="18"/>
  <c r="E39" i="18"/>
  <c r="D39" i="18"/>
  <c r="C39" i="18"/>
  <c r="D37" i="18"/>
  <c r="F32" i="18"/>
  <c r="E32" i="18"/>
  <c r="D32" i="18"/>
  <c r="C32" i="18"/>
  <c r="F30" i="18"/>
  <c r="E30" i="18"/>
  <c r="D30" i="18"/>
  <c r="C30" i="18"/>
  <c r="F25" i="18"/>
  <c r="E25" i="18"/>
  <c r="D25" i="18"/>
  <c r="C25" i="18"/>
  <c r="F23" i="18"/>
  <c r="E23" i="18"/>
  <c r="D23" i="18"/>
  <c r="C23" i="18"/>
  <c r="E18" i="18"/>
  <c r="D18" i="18"/>
  <c r="C18" i="18"/>
  <c r="E16" i="18"/>
  <c r="D16" i="18"/>
  <c r="C16" i="18"/>
  <c r="E11" i="18"/>
  <c r="D11" i="18"/>
  <c r="C11" i="18"/>
  <c r="G39" i="16"/>
  <c r="F39" i="16"/>
  <c r="E39" i="16"/>
  <c r="D39" i="16"/>
  <c r="C39" i="16"/>
  <c r="D37" i="16"/>
  <c r="F32" i="16"/>
  <c r="E32" i="16"/>
  <c r="D32" i="16"/>
  <c r="C32" i="16"/>
  <c r="F30" i="16"/>
  <c r="E30" i="16"/>
  <c r="D30" i="16"/>
  <c r="C30" i="16"/>
  <c r="F25" i="16"/>
  <c r="E25" i="16"/>
  <c r="D25" i="16"/>
  <c r="C25" i="16"/>
  <c r="F23" i="16"/>
  <c r="E23" i="16"/>
  <c r="D23" i="16"/>
  <c r="C23" i="16"/>
  <c r="E18" i="16"/>
  <c r="D18" i="16"/>
  <c r="C18" i="16"/>
  <c r="E16" i="16"/>
  <c r="D16" i="16"/>
  <c r="C16" i="16"/>
  <c r="E11" i="16"/>
  <c r="D11" i="16"/>
  <c r="C11" i="16"/>
  <c r="G39" i="14"/>
  <c r="F39" i="14"/>
  <c r="E39" i="14"/>
  <c r="D39" i="14"/>
  <c r="C39" i="14"/>
  <c r="D37" i="14"/>
  <c r="F32" i="14"/>
  <c r="E32" i="14"/>
  <c r="D32" i="14"/>
  <c r="C32" i="14"/>
  <c r="F30" i="14"/>
  <c r="E30" i="14"/>
  <c r="D30" i="14"/>
  <c r="C30" i="14"/>
  <c r="F25" i="14"/>
  <c r="E25" i="14"/>
  <c r="D25" i="14"/>
  <c r="C25" i="14"/>
  <c r="F23" i="14"/>
  <c r="E23" i="14"/>
  <c r="D23" i="14"/>
  <c r="C23" i="14"/>
  <c r="E18" i="14"/>
  <c r="D18" i="14"/>
  <c r="C18" i="14"/>
  <c r="E16" i="14"/>
  <c r="D16" i="14"/>
  <c r="C16" i="14"/>
  <c r="E11" i="14"/>
  <c r="D11" i="14"/>
  <c r="C11" i="14"/>
  <c r="G39" i="6"/>
  <c r="F39" i="6"/>
  <c r="E39" i="6"/>
  <c r="D39" i="6"/>
  <c r="C39" i="6"/>
  <c r="D37" i="6"/>
  <c r="F30" i="6"/>
  <c r="E30" i="6"/>
  <c r="D30" i="6"/>
  <c r="C30" i="6"/>
  <c r="F32" i="6"/>
  <c r="E32" i="6"/>
  <c r="D32" i="6"/>
  <c r="C32" i="6"/>
  <c r="F25" i="6"/>
  <c r="E25" i="6"/>
  <c r="D25" i="6"/>
  <c r="C25" i="6"/>
  <c r="F23" i="6"/>
  <c r="E23" i="6"/>
  <c r="D23" i="6"/>
  <c r="C23" i="6"/>
  <c r="E18" i="6"/>
  <c r="D18" i="6"/>
  <c r="C18" i="6"/>
  <c r="E16" i="6"/>
  <c r="D16" i="6"/>
  <c r="C16" i="6"/>
  <c r="E11" i="6"/>
  <c r="D11" i="6"/>
  <c r="C11" i="6"/>
  <c r="G39" i="12"/>
  <c r="F39" i="12"/>
  <c r="E39" i="12"/>
  <c r="D39" i="12"/>
  <c r="C39" i="12"/>
  <c r="D37" i="12"/>
  <c r="F32" i="12"/>
  <c r="E32" i="12"/>
  <c r="D32" i="12"/>
  <c r="C32" i="12"/>
  <c r="F30" i="12"/>
  <c r="E30" i="12"/>
  <c r="D30" i="12"/>
  <c r="C30" i="12"/>
  <c r="F25" i="12"/>
  <c r="E25" i="12"/>
  <c r="D25" i="12"/>
  <c r="C25" i="12"/>
  <c r="E23" i="12"/>
  <c r="D23" i="12"/>
  <c r="C23" i="12"/>
  <c r="E18" i="12"/>
  <c r="D18" i="12"/>
  <c r="C18" i="12"/>
  <c r="E11" i="12"/>
  <c r="D11" i="12"/>
  <c r="C11" i="12"/>
  <c r="D16" i="12"/>
  <c r="E16" i="12"/>
  <c r="C16" i="12"/>
  <c r="E9" i="34" a="1"/>
  <c r="E9" i="34" l="1"/>
  <c r="D14" i="33"/>
  <c r="W8" i="31"/>
  <c r="W10" i="31" s="1"/>
  <c r="E20" i="31"/>
  <c r="F20" i="31"/>
  <c r="G20" i="31"/>
  <c r="F19" i="31"/>
  <c r="E18" i="31"/>
  <c r="J20" i="31"/>
  <c r="G18" i="31"/>
  <c r="K20" i="31"/>
  <c r="F17" i="31"/>
  <c r="L20" i="31"/>
  <c r="E16" i="31"/>
  <c r="M20" i="31"/>
  <c r="H17" i="31"/>
  <c r="I17" i="31"/>
  <c r="O20" i="31"/>
  <c r="J17" i="31"/>
  <c r="E14" i="31"/>
  <c r="K17" i="31"/>
  <c r="Q20" i="31"/>
  <c r="J16" i="31"/>
  <c r="R20" i="31"/>
  <c r="G14" i="31"/>
  <c r="K16" i="31"/>
  <c r="S20" i="31"/>
  <c r="H14" i="31"/>
  <c r="J15" i="31"/>
  <c r="L16" i="31"/>
  <c r="N17" i="31"/>
  <c r="P18" i="31"/>
  <c r="R19" i="31"/>
  <c r="T20" i="31"/>
  <c r="I20" i="31"/>
  <c r="F18" i="31"/>
  <c r="H18" i="31"/>
  <c r="K19" i="31"/>
  <c r="J18" i="31"/>
  <c r="G16" i="31"/>
  <c r="M19" i="31"/>
  <c r="I16" i="31"/>
  <c r="M18" i="31"/>
  <c r="F14" i="31"/>
  <c r="N18" i="31"/>
  <c r="O18" i="31"/>
  <c r="I14" i="31"/>
  <c r="K15" i="31"/>
  <c r="M16" i="31"/>
  <c r="O17" i="31"/>
  <c r="Q18" i="31"/>
  <c r="S19" i="31"/>
  <c r="U20" i="31"/>
  <c r="U8" i="31" s="1"/>
  <c r="U10" i="31" s="1"/>
  <c r="E19" i="31"/>
  <c r="G19" i="31"/>
  <c r="H19" i="31"/>
  <c r="I18" i="31"/>
  <c r="N20" i="31"/>
  <c r="F15" i="31"/>
  <c r="L18" i="31"/>
  <c r="N19" i="31"/>
  <c r="G15" i="31"/>
  <c r="O19" i="31"/>
  <c r="L17" i="31"/>
  <c r="D8" i="31"/>
  <c r="Q19" i="31"/>
  <c r="J14" i="31"/>
  <c r="L15" i="31"/>
  <c r="N16" i="31"/>
  <c r="P17" i="31"/>
  <c r="R18" i="31"/>
  <c r="T19" i="31"/>
  <c r="V20" i="31"/>
  <c r="V8" i="31" s="1"/>
  <c r="V10" i="31" s="1"/>
  <c r="H20" i="31"/>
  <c r="E17" i="31"/>
  <c r="I19" i="31"/>
  <c r="J19" i="31"/>
  <c r="G17" i="31"/>
  <c r="F16" i="31"/>
  <c r="L19" i="31"/>
  <c r="E15" i="31"/>
  <c r="K18" i="31"/>
  <c r="H16" i="31"/>
  <c r="P20" i="31"/>
  <c r="H15" i="31"/>
  <c r="P19" i="31"/>
  <c r="I15" i="31"/>
  <c r="M17" i="31"/>
  <c r="D58" i="18"/>
  <c r="D57" i="18"/>
  <c r="D70" i="18"/>
  <c r="D54" i="18"/>
  <c r="D55" i="18"/>
  <c r="D56" i="18"/>
  <c r="D59" i="18"/>
  <c r="D60" i="18"/>
  <c r="D61" i="18"/>
  <c r="D62" i="18"/>
  <c r="D63" i="18"/>
  <c r="D64" i="18"/>
  <c r="D65" i="18"/>
  <c r="D66" i="18"/>
  <c r="D67" i="18"/>
  <c r="D68" i="18"/>
  <c r="D69" i="18"/>
  <c r="D71" i="18"/>
  <c r="D53" i="18"/>
  <c r="F71" i="18"/>
  <c r="F70" i="18"/>
  <c r="F69" i="18"/>
  <c r="F68" i="18"/>
  <c r="F67" i="18"/>
  <c r="F66" i="18"/>
  <c r="F65" i="18"/>
  <c r="F64" i="18"/>
  <c r="F63" i="18"/>
  <c r="F62" i="18"/>
  <c r="F61" i="18"/>
  <c r="F60" i="18"/>
  <c r="F59" i="18"/>
  <c r="F58" i="18"/>
  <c r="F57" i="18"/>
  <c r="F56" i="18"/>
  <c r="F55" i="18"/>
  <c r="F54" i="18"/>
  <c r="F53" i="18"/>
  <c r="D72" i="21"/>
  <c r="D71" i="21"/>
  <c r="D70" i="21"/>
  <c r="D69" i="21"/>
  <c r="D68" i="21"/>
  <c r="D67" i="21"/>
  <c r="D66" i="21"/>
  <c r="D65" i="21"/>
  <c r="D64" i="21"/>
  <c r="D63" i="21"/>
  <c r="D62" i="21"/>
  <c r="D61" i="21"/>
  <c r="D60" i="21"/>
  <c r="D59" i="21"/>
  <c r="D58" i="21"/>
  <c r="D57" i="21"/>
  <c r="D56" i="21"/>
  <c r="D55" i="21"/>
  <c r="D54" i="21"/>
  <c r="D53" i="21"/>
  <c r="F53" i="21"/>
  <c r="F71" i="21"/>
  <c r="F70" i="21"/>
  <c r="F69" i="21"/>
  <c r="F68" i="21"/>
  <c r="F67" i="21"/>
  <c r="F66" i="21"/>
  <c r="F65" i="21"/>
  <c r="F64" i="21"/>
  <c r="F63" i="21"/>
  <c r="F62" i="21"/>
  <c r="F61" i="21"/>
  <c r="F60" i="21"/>
  <c r="F59" i="21"/>
  <c r="F58" i="21"/>
  <c r="F57" i="21"/>
  <c r="F56" i="21"/>
  <c r="F55" i="21"/>
  <c r="F54" i="21"/>
  <c r="F71" i="14"/>
  <c r="F70" i="14"/>
  <c r="F69" i="14"/>
  <c r="F68" i="14"/>
  <c r="F67" i="14"/>
  <c r="F66" i="14"/>
  <c r="F65" i="14"/>
  <c r="F64" i="14"/>
  <c r="F63" i="14"/>
  <c r="F62" i="14"/>
  <c r="F61" i="14"/>
  <c r="F60" i="14"/>
  <c r="F59" i="14"/>
  <c r="F58" i="14"/>
  <c r="F57" i="14"/>
  <c r="F56" i="14"/>
  <c r="F55" i="14"/>
  <c r="F54" i="14"/>
  <c r="F53" i="14"/>
  <c r="D57" i="14"/>
  <c r="D54" i="14"/>
  <c r="D55" i="14"/>
  <c r="D56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53" i="14"/>
  <c r="Q14" i="27"/>
  <c r="J51" i="28"/>
  <c r="J52" i="28"/>
  <c r="J61" i="28"/>
  <c r="J66" i="28"/>
  <c r="H66" i="28"/>
  <c r="H65" i="28"/>
  <c r="H64" i="28"/>
  <c r="H63" i="28"/>
  <c r="H62" i="28"/>
  <c r="H61" i="28"/>
  <c r="H60" i="28"/>
  <c r="H59" i="28"/>
  <c r="H58" i="28"/>
  <c r="H57" i="28"/>
  <c r="H53" i="28"/>
  <c r="H51" i="28"/>
  <c r="H50" i="28"/>
  <c r="H49" i="28"/>
  <c r="H48" i="28"/>
  <c r="D63" i="28"/>
  <c r="D62" i="28"/>
  <c r="D61" i="28"/>
  <c r="D55" i="28"/>
  <c r="D51" i="28"/>
  <c r="D52" i="28"/>
  <c r="D53" i="28"/>
  <c r="D54" i="28"/>
  <c r="D56" i="28"/>
  <c r="D57" i="28"/>
  <c r="D58" i="28"/>
  <c r="D59" i="28"/>
  <c r="D60" i="28"/>
  <c r="D64" i="28"/>
  <c r="D65" i="28"/>
  <c r="D66" i="28"/>
  <c r="D67" i="28"/>
  <c r="D68" i="28"/>
  <c r="D50" i="28"/>
  <c r="C13" i="12"/>
  <c r="G41" i="28"/>
  <c r="F41" i="28"/>
  <c r="E41" i="28"/>
  <c r="D41" i="28"/>
  <c r="C41" i="28"/>
  <c r="F34" i="28"/>
  <c r="E34" i="28"/>
  <c r="D34" i="28"/>
  <c r="C34" i="28"/>
  <c r="F27" i="28"/>
  <c r="E27" i="28"/>
  <c r="D27" i="28"/>
  <c r="C27" i="28"/>
  <c r="E20" i="28"/>
  <c r="D20" i="28"/>
  <c r="C20" i="28"/>
  <c r="E13" i="28"/>
  <c r="D13" i="28"/>
  <c r="C13" i="28"/>
  <c r="A3" i="28"/>
  <c r="D2" i="28"/>
  <c r="O15" i="27"/>
  <c r="D15" i="27"/>
  <c r="K15" i="27" s="1"/>
  <c r="D14" i="27"/>
  <c r="C12" i="27"/>
  <c r="D10" i="27"/>
  <c r="C8" i="27"/>
  <c r="C7" i="27"/>
  <c r="D6" i="27"/>
  <c r="G41" i="26"/>
  <c r="F41" i="26"/>
  <c r="E41" i="26"/>
  <c r="D41" i="26"/>
  <c r="C41" i="26"/>
  <c r="F34" i="26"/>
  <c r="E34" i="26"/>
  <c r="D34" i="26"/>
  <c r="C34" i="26"/>
  <c r="F27" i="26"/>
  <c r="E27" i="26"/>
  <c r="D27" i="26"/>
  <c r="C27" i="26"/>
  <c r="E20" i="26"/>
  <c r="D20" i="26"/>
  <c r="C20" i="26"/>
  <c r="E13" i="26"/>
  <c r="D13" i="26"/>
  <c r="C13" i="26"/>
  <c r="A3" i="26"/>
  <c r="D2" i="26"/>
  <c r="L16" i="25"/>
  <c r="D16" i="25"/>
  <c r="K16" i="25" s="1"/>
  <c r="D15" i="25"/>
  <c r="Q15" i="25" s="1"/>
  <c r="C12" i="25"/>
  <c r="D10" i="25"/>
  <c r="C8" i="25"/>
  <c r="C7" i="25"/>
  <c r="D17" i="25" s="1"/>
  <c r="D6" i="25"/>
  <c r="Q21" i="23"/>
  <c r="D21" i="23"/>
  <c r="O21" i="23" s="1"/>
  <c r="G41" i="24"/>
  <c r="F41" i="24"/>
  <c r="E41" i="24"/>
  <c r="D41" i="24"/>
  <c r="C41" i="24"/>
  <c r="F34" i="24"/>
  <c r="E34" i="24"/>
  <c r="D34" i="24"/>
  <c r="C34" i="24"/>
  <c r="F27" i="24"/>
  <c r="E27" i="24"/>
  <c r="D27" i="24"/>
  <c r="C27" i="24"/>
  <c r="E20" i="24"/>
  <c r="D20" i="24"/>
  <c r="C20" i="24"/>
  <c r="E13" i="24"/>
  <c r="D13" i="24"/>
  <c r="C13" i="24"/>
  <c r="A3" i="24"/>
  <c r="D2" i="24"/>
  <c r="Q18" i="23"/>
  <c r="P18" i="23"/>
  <c r="D18" i="23"/>
  <c r="O18" i="23" s="1"/>
  <c r="C12" i="23"/>
  <c r="D10" i="23"/>
  <c r="C8" i="23"/>
  <c r="C7" i="23"/>
  <c r="D15" i="23" s="1"/>
  <c r="D6" i="23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W18" i="20"/>
  <c r="V18" i="20"/>
  <c r="U18" i="20"/>
  <c r="T18" i="20"/>
  <c r="O18" i="20"/>
  <c r="N18" i="20"/>
  <c r="M18" i="20"/>
  <c r="L18" i="20"/>
  <c r="K18" i="20"/>
  <c r="J18" i="20"/>
  <c r="I18" i="20"/>
  <c r="H18" i="20"/>
  <c r="G18" i="20"/>
  <c r="F18" i="20"/>
  <c r="D18" i="20"/>
  <c r="S18" i="20" s="1"/>
  <c r="Q17" i="20"/>
  <c r="P17" i="20"/>
  <c r="O17" i="20"/>
  <c r="N17" i="20"/>
  <c r="M17" i="20"/>
  <c r="L17" i="20"/>
  <c r="D17" i="20"/>
  <c r="K17" i="20" s="1"/>
  <c r="D16" i="20"/>
  <c r="Q16" i="20" s="1"/>
  <c r="Q15" i="20"/>
  <c r="P15" i="20"/>
  <c r="O15" i="20"/>
  <c r="N15" i="20"/>
  <c r="M15" i="20"/>
  <c r="L15" i="20"/>
  <c r="K15" i="20"/>
  <c r="J15" i="20"/>
  <c r="D15" i="20"/>
  <c r="W15" i="20" s="1"/>
  <c r="Q14" i="20"/>
  <c r="P14" i="20"/>
  <c r="D14" i="20"/>
  <c r="O14" i="20" s="1"/>
  <c r="O17" i="19"/>
  <c r="N17" i="19"/>
  <c r="D17" i="19"/>
  <c r="M17" i="19" s="1"/>
  <c r="G41" i="22"/>
  <c r="F41" i="22"/>
  <c r="E41" i="22"/>
  <c r="D41" i="22"/>
  <c r="C41" i="22"/>
  <c r="F34" i="22"/>
  <c r="E34" i="22"/>
  <c r="D34" i="22"/>
  <c r="C34" i="22"/>
  <c r="F27" i="22"/>
  <c r="E27" i="22"/>
  <c r="D27" i="22"/>
  <c r="C27" i="22"/>
  <c r="E20" i="22"/>
  <c r="D20" i="22"/>
  <c r="C20" i="22"/>
  <c r="E13" i="22"/>
  <c r="D13" i="22"/>
  <c r="C13" i="22"/>
  <c r="A3" i="22"/>
  <c r="D2" i="22"/>
  <c r="G41" i="21"/>
  <c r="F41" i="21"/>
  <c r="E41" i="21"/>
  <c r="D41" i="21"/>
  <c r="C41" i="21"/>
  <c r="F34" i="21"/>
  <c r="E34" i="21"/>
  <c r="D34" i="21"/>
  <c r="C34" i="21"/>
  <c r="F27" i="21"/>
  <c r="E27" i="21"/>
  <c r="D27" i="21"/>
  <c r="C27" i="21"/>
  <c r="E20" i="21"/>
  <c r="D20" i="21"/>
  <c r="C20" i="21"/>
  <c r="E13" i="21"/>
  <c r="D13" i="21"/>
  <c r="C13" i="21"/>
  <c r="A3" i="21"/>
  <c r="D2" i="21"/>
  <c r="C12" i="20"/>
  <c r="D10" i="20"/>
  <c r="C8" i="20"/>
  <c r="C7" i="20"/>
  <c r="D6" i="20"/>
  <c r="Q15" i="19"/>
  <c r="P15" i="19"/>
  <c r="D15" i="19"/>
  <c r="O15" i="19" s="1"/>
  <c r="C12" i="19"/>
  <c r="D10" i="19"/>
  <c r="C8" i="19"/>
  <c r="C7" i="19"/>
  <c r="D14" i="19" s="1"/>
  <c r="D6" i="19"/>
  <c r="C37" i="32" a="1"/>
  <c r="G3" i="34" a="1"/>
  <c r="C23" i="34" a="1"/>
  <c r="G3" i="21" a="1"/>
  <c r="C9" i="32" a="1"/>
  <c r="G3" i="26" a="1"/>
  <c r="C9" i="34" a="1"/>
  <c r="E37" i="34" a="1"/>
  <c r="C16" i="34" a="1"/>
  <c r="D16" i="34" a="1"/>
  <c r="F37" i="32" a="1"/>
  <c r="G2" i="28" a="1"/>
  <c r="F23" i="34" a="1"/>
  <c r="E23" i="26" a="1"/>
  <c r="F37" i="34" a="1"/>
  <c r="D23" i="28" a="1"/>
  <c r="G2" i="32" a="1"/>
  <c r="G37" i="34" a="1"/>
  <c r="E9" i="28" a="1"/>
  <c r="G3" i="18" a="1"/>
  <c r="C37" i="34" a="1"/>
  <c r="G37" i="32" a="1"/>
  <c r="G37" i="28" a="1"/>
  <c r="C16" i="26" a="1"/>
  <c r="G3" i="32" a="1"/>
  <c r="G3" i="6" a="1"/>
  <c r="E37" i="32" a="1"/>
  <c r="D9" i="32" a="1"/>
  <c r="C37" i="26" a="1"/>
  <c r="E16" i="34" a="1"/>
  <c r="E24" i="32" a="1"/>
  <c r="F24" i="32" a="1"/>
  <c r="F23" i="26" a="1"/>
  <c r="G3" i="22" a="1"/>
  <c r="G3" i="28" a="1"/>
  <c r="D23" i="34" a="1"/>
  <c r="C16" i="28" a="1"/>
  <c r="E23" i="34" a="1"/>
  <c r="E9" i="32" a="1"/>
  <c r="D23" i="26" a="1"/>
  <c r="D24" i="32" a="1"/>
  <c r="E23" i="28" a="1"/>
  <c r="G3" i="24" a="1"/>
  <c r="G2" i="26" a="1"/>
  <c r="D9" i="34" a="1"/>
  <c r="G37" i="34" l="1"/>
  <c r="E23" i="34"/>
  <c r="D9" i="34"/>
  <c r="C16" i="34"/>
  <c r="C37" i="34"/>
  <c r="C23" i="34"/>
  <c r="E16" i="34"/>
  <c r="D23" i="34"/>
  <c r="F23" i="34"/>
  <c r="G3" i="34"/>
  <c r="E37" i="34"/>
  <c r="C9" i="34"/>
  <c r="F37" i="34"/>
  <c r="D16" i="34"/>
  <c r="O14" i="33"/>
  <c r="O8" i="33" s="1"/>
  <c r="M14" i="33"/>
  <c r="M8" i="33" s="1"/>
  <c r="L14" i="33"/>
  <c r="L8" i="33" s="1"/>
  <c r="J14" i="33"/>
  <c r="J8" i="33" s="1"/>
  <c r="W14" i="33"/>
  <c r="W8" i="33" s="1"/>
  <c r="I14" i="33"/>
  <c r="I8" i="33" s="1"/>
  <c r="V14" i="33"/>
  <c r="V8" i="33" s="1"/>
  <c r="H14" i="33"/>
  <c r="H8" i="33" s="1"/>
  <c r="U14" i="33"/>
  <c r="U8" i="33" s="1"/>
  <c r="T14" i="33"/>
  <c r="T8" i="33" s="1"/>
  <c r="S14" i="33"/>
  <c r="S8" i="33" s="1"/>
  <c r="D8" i="33"/>
  <c r="Q14" i="33"/>
  <c r="Q8" i="33" s="1"/>
  <c r="N14" i="33"/>
  <c r="N8" i="33" s="1"/>
  <c r="K14" i="33"/>
  <c r="K8" i="33" s="1"/>
  <c r="G14" i="33"/>
  <c r="G8" i="33" s="1"/>
  <c r="F14" i="33"/>
  <c r="F8" i="33" s="1"/>
  <c r="E14" i="33"/>
  <c r="E8" i="33" s="1"/>
  <c r="E10" i="33" s="1"/>
  <c r="R14" i="33"/>
  <c r="R8" i="33" s="1"/>
  <c r="P14" i="33"/>
  <c r="P8" i="33" s="1"/>
  <c r="S8" i="31"/>
  <c r="Q8" i="31"/>
  <c r="T8" i="31"/>
  <c r="O8" i="31"/>
  <c r="M8" i="31"/>
  <c r="R8" i="31"/>
  <c r="P8" i="31"/>
  <c r="K8" i="31"/>
  <c r="N8" i="31"/>
  <c r="L8" i="31"/>
  <c r="G3" i="32"/>
  <c r="E24" i="32"/>
  <c r="E26" i="32" s="1"/>
  <c r="E9" i="32"/>
  <c r="E37" i="32"/>
  <c r="C9" i="32"/>
  <c r="G37" i="32"/>
  <c r="D9" i="32"/>
  <c r="F37" i="32"/>
  <c r="C37" i="32"/>
  <c r="D24" i="32"/>
  <c r="G2" i="32"/>
  <c r="F24" i="32"/>
  <c r="J8" i="31"/>
  <c r="F8" i="31"/>
  <c r="I8" i="31"/>
  <c r="G8" i="31"/>
  <c r="H8" i="31"/>
  <c r="G3" i="6"/>
  <c r="G3" i="18"/>
  <c r="G3" i="21"/>
  <c r="G3" i="22"/>
  <c r="G3" i="24"/>
  <c r="G3" i="26"/>
  <c r="G3" i="28"/>
  <c r="G2" i="28"/>
  <c r="N16" i="25"/>
  <c r="M16" i="25"/>
  <c r="O16" i="25"/>
  <c r="M15" i="27"/>
  <c r="N15" i="27"/>
  <c r="L15" i="27"/>
  <c r="P15" i="27"/>
  <c r="H15" i="27"/>
  <c r="Q15" i="27"/>
  <c r="V15" i="27"/>
  <c r="D23" i="28"/>
  <c r="E23" i="28"/>
  <c r="E9" i="28"/>
  <c r="G37" i="28"/>
  <c r="C16" i="28"/>
  <c r="D8" i="27"/>
  <c r="S14" i="27"/>
  <c r="F14" i="27"/>
  <c r="T14" i="27"/>
  <c r="H14" i="27"/>
  <c r="V14" i="27"/>
  <c r="I14" i="27"/>
  <c r="J14" i="27"/>
  <c r="R15" i="27"/>
  <c r="K14" i="27"/>
  <c r="K8" i="27" s="1"/>
  <c r="K10" i="27" s="1"/>
  <c r="E15" i="27"/>
  <c r="S15" i="27"/>
  <c r="R14" i="27"/>
  <c r="G14" i="27"/>
  <c r="U14" i="27"/>
  <c r="W14" i="27"/>
  <c r="L14" i="27"/>
  <c r="F15" i="27"/>
  <c r="T15" i="27"/>
  <c r="E14" i="27"/>
  <c r="M14" i="27"/>
  <c r="G15" i="27"/>
  <c r="U15" i="27"/>
  <c r="O14" i="27"/>
  <c r="I15" i="27"/>
  <c r="W15" i="27"/>
  <c r="N14" i="27"/>
  <c r="P14" i="27"/>
  <c r="J15" i="27"/>
  <c r="E23" i="26"/>
  <c r="C37" i="26"/>
  <c r="F23" i="26"/>
  <c r="G2" i="26"/>
  <c r="D23" i="26"/>
  <c r="C16" i="26"/>
  <c r="S17" i="25"/>
  <c r="E17" i="25"/>
  <c r="R17" i="25"/>
  <c r="I17" i="25"/>
  <c r="U17" i="25"/>
  <c r="G17" i="25"/>
  <c r="Q17" i="25"/>
  <c r="O17" i="25"/>
  <c r="W17" i="25"/>
  <c r="V17" i="25"/>
  <c r="F17" i="25"/>
  <c r="P17" i="25"/>
  <c r="T17" i="25"/>
  <c r="N17" i="25"/>
  <c r="M17" i="25"/>
  <c r="L17" i="25"/>
  <c r="H17" i="25"/>
  <c r="K17" i="25"/>
  <c r="J17" i="25"/>
  <c r="E15" i="25"/>
  <c r="S15" i="25"/>
  <c r="H15" i="25"/>
  <c r="V15" i="25"/>
  <c r="P16" i="25"/>
  <c r="D18" i="25"/>
  <c r="I15" i="25"/>
  <c r="W15" i="25"/>
  <c r="Q16" i="25"/>
  <c r="F15" i="25"/>
  <c r="T15" i="25"/>
  <c r="J15" i="25"/>
  <c r="S16" i="25"/>
  <c r="D14" i="25"/>
  <c r="L15" i="25"/>
  <c r="F16" i="25"/>
  <c r="T16" i="25"/>
  <c r="E16" i="25"/>
  <c r="M15" i="25"/>
  <c r="U16" i="25"/>
  <c r="N15" i="25"/>
  <c r="H16" i="25"/>
  <c r="V16" i="25"/>
  <c r="R15" i="25"/>
  <c r="G15" i="25"/>
  <c r="U15" i="25"/>
  <c r="R16" i="25"/>
  <c r="K15" i="25"/>
  <c r="G16" i="25"/>
  <c r="O15" i="25"/>
  <c r="I16" i="25"/>
  <c r="W16" i="25"/>
  <c r="P15" i="25"/>
  <c r="J16" i="25"/>
  <c r="R21" i="23"/>
  <c r="D20" i="23"/>
  <c r="P21" i="23"/>
  <c r="I20" i="23"/>
  <c r="J20" i="23"/>
  <c r="H20" i="23"/>
  <c r="K20" i="23"/>
  <c r="N20" i="23"/>
  <c r="O20" i="23"/>
  <c r="V20" i="23"/>
  <c r="H21" i="23"/>
  <c r="E21" i="23"/>
  <c r="F21" i="23"/>
  <c r="T21" i="23"/>
  <c r="G21" i="23"/>
  <c r="U21" i="23"/>
  <c r="V21" i="23"/>
  <c r="Q20" i="23"/>
  <c r="K21" i="23"/>
  <c r="R20" i="23"/>
  <c r="S20" i="23"/>
  <c r="F20" i="23"/>
  <c r="T20" i="23"/>
  <c r="N21" i="23"/>
  <c r="S21" i="23"/>
  <c r="I21" i="23"/>
  <c r="W21" i="23"/>
  <c r="J21" i="23"/>
  <c r="L21" i="23"/>
  <c r="E20" i="23"/>
  <c r="M21" i="23"/>
  <c r="G20" i="23"/>
  <c r="S15" i="23"/>
  <c r="E15" i="23"/>
  <c r="Q15" i="23"/>
  <c r="F15" i="23"/>
  <c r="R15" i="23"/>
  <c r="N15" i="23"/>
  <c r="M15" i="23"/>
  <c r="U15" i="23"/>
  <c r="P15" i="23"/>
  <c r="O15" i="23"/>
  <c r="L15" i="23"/>
  <c r="V15" i="23"/>
  <c r="G15" i="23"/>
  <c r="K15" i="23"/>
  <c r="T15" i="23"/>
  <c r="J15" i="23"/>
  <c r="W15" i="23"/>
  <c r="I15" i="23"/>
  <c r="H15" i="23"/>
  <c r="R18" i="23"/>
  <c r="E18" i="23"/>
  <c r="S18" i="23"/>
  <c r="D16" i="23"/>
  <c r="F18" i="23"/>
  <c r="T18" i="23"/>
  <c r="G18" i="23"/>
  <c r="U18" i="23"/>
  <c r="D14" i="23"/>
  <c r="H18" i="23"/>
  <c r="V18" i="23"/>
  <c r="J18" i="23"/>
  <c r="K18" i="23"/>
  <c r="D17" i="23"/>
  <c r="L18" i="23"/>
  <c r="W18" i="23"/>
  <c r="D19" i="23"/>
  <c r="N18" i="23"/>
  <c r="I18" i="23"/>
  <c r="M18" i="23"/>
  <c r="E16" i="20"/>
  <c r="U14" i="20"/>
  <c r="R16" i="20"/>
  <c r="R14" i="20"/>
  <c r="T14" i="20"/>
  <c r="H16" i="20"/>
  <c r="H14" i="20"/>
  <c r="J14" i="20"/>
  <c r="R15" i="20"/>
  <c r="T17" i="20"/>
  <c r="G17" i="20"/>
  <c r="L14" i="20"/>
  <c r="F15" i="20"/>
  <c r="T15" i="20"/>
  <c r="N16" i="20"/>
  <c r="H17" i="20"/>
  <c r="V17" i="20"/>
  <c r="P18" i="20"/>
  <c r="T16" i="20"/>
  <c r="I16" i="20"/>
  <c r="I14" i="20"/>
  <c r="W14" i="20"/>
  <c r="E17" i="20"/>
  <c r="L16" i="20"/>
  <c r="M14" i="20"/>
  <c r="U15" i="20"/>
  <c r="O16" i="20"/>
  <c r="O8" i="20" s="1"/>
  <c r="I17" i="20"/>
  <c r="W17" i="20"/>
  <c r="Q18" i="20"/>
  <c r="Q8" i="20" s="1"/>
  <c r="S16" i="20"/>
  <c r="G16" i="20"/>
  <c r="U16" i="20"/>
  <c r="W16" i="20"/>
  <c r="R17" i="20"/>
  <c r="K16" i="20"/>
  <c r="S17" i="20"/>
  <c r="F17" i="20"/>
  <c r="E15" i="20"/>
  <c r="M16" i="20"/>
  <c r="N14" i="20"/>
  <c r="H15" i="20"/>
  <c r="V15" i="20"/>
  <c r="P16" i="20"/>
  <c r="J17" i="20"/>
  <c r="R18" i="20"/>
  <c r="F16" i="20"/>
  <c r="E14" i="20"/>
  <c r="S14" i="20"/>
  <c r="F14" i="20"/>
  <c r="V16" i="20"/>
  <c r="G14" i="20"/>
  <c r="V14" i="20"/>
  <c r="J16" i="20"/>
  <c r="K14" i="20"/>
  <c r="S15" i="20"/>
  <c r="U17" i="20"/>
  <c r="G15" i="20"/>
  <c r="I15" i="20"/>
  <c r="E18" i="20"/>
  <c r="P17" i="19"/>
  <c r="Q17" i="19"/>
  <c r="D18" i="19"/>
  <c r="I18" i="19"/>
  <c r="R17" i="19"/>
  <c r="G17" i="19"/>
  <c r="E17" i="19"/>
  <c r="S17" i="19"/>
  <c r="W17" i="19"/>
  <c r="J17" i="19"/>
  <c r="R18" i="19"/>
  <c r="F17" i="19"/>
  <c r="T17" i="19"/>
  <c r="U17" i="19"/>
  <c r="K17" i="19"/>
  <c r="L17" i="19"/>
  <c r="H17" i="19"/>
  <c r="V17" i="19"/>
  <c r="I17" i="19"/>
  <c r="G18" i="19"/>
  <c r="D8" i="20"/>
  <c r="U14" i="19"/>
  <c r="G14" i="19"/>
  <c r="P14" i="19"/>
  <c r="M14" i="19"/>
  <c r="W14" i="19"/>
  <c r="T14" i="19"/>
  <c r="F14" i="19"/>
  <c r="R14" i="19"/>
  <c r="Q14" i="19"/>
  <c r="N14" i="19"/>
  <c r="L14" i="19"/>
  <c r="J14" i="19"/>
  <c r="S14" i="19"/>
  <c r="E14" i="19"/>
  <c r="O14" i="19"/>
  <c r="K14" i="19"/>
  <c r="I14" i="19"/>
  <c r="V14" i="19"/>
  <c r="H14" i="19"/>
  <c r="R15" i="19"/>
  <c r="F15" i="19"/>
  <c r="U15" i="19"/>
  <c r="H15" i="19"/>
  <c r="W15" i="19"/>
  <c r="J15" i="19"/>
  <c r="M15" i="19"/>
  <c r="S15" i="19"/>
  <c r="G15" i="19"/>
  <c r="I15" i="19"/>
  <c r="N15" i="19"/>
  <c r="E15" i="19"/>
  <c r="T15" i="19"/>
  <c r="V15" i="19"/>
  <c r="D16" i="19"/>
  <c r="K15" i="19"/>
  <c r="L15" i="19"/>
  <c r="C10" i="34" a="1"/>
  <c r="C31" i="34" a="1"/>
  <c r="C9" i="28" a="1"/>
  <c r="C24" i="32" a="1"/>
  <c r="D24" i="34" a="1"/>
  <c r="D16" i="28" a="1"/>
  <c r="F31" i="32" a="1"/>
  <c r="F38" i="32" a="1"/>
  <c r="E17" i="34" a="1"/>
  <c r="D38" i="32" a="1"/>
  <c r="F23" i="28" a="1"/>
  <c r="G37" i="26" a="1"/>
  <c r="F38" i="22" a="1"/>
  <c r="E38" i="32" a="1"/>
  <c r="D17" i="34" a="1"/>
  <c r="E16" i="26" a="1"/>
  <c r="D17" i="32" a="1"/>
  <c r="E16" i="28" a="1"/>
  <c r="C9" i="26" a="1"/>
  <c r="F38" i="34" a="1"/>
  <c r="G2" i="24" a="1"/>
  <c r="E17" i="32" a="1"/>
  <c r="G2" i="22" a="1"/>
  <c r="D16" i="26" a="1"/>
  <c r="G2" i="21" a="1"/>
  <c r="D9" i="28" a="1"/>
  <c r="C17" i="32" a="1"/>
  <c r="G38" i="34" a="1"/>
  <c r="C23" i="28" a="1"/>
  <c r="E31" i="34" a="1"/>
  <c r="D17" i="22" a="1"/>
  <c r="E10" i="32" a="1"/>
  <c r="F37" i="28" a="1"/>
  <c r="C10" i="32" a="1"/>
  <c r="D38" i="34" a="1"/>
  <c r="E9" i="26" a="1"/>
  <c r="F37" i="26" a="1"/>
  <c r="C31" i="32" a="1"/>
  <c r="E37" i="26" a="1"/>
  <c r="E31" i="32" a="1"/>
  <c r="D10" i="32" a="1"/>
  <c r="E10" i="34" a="1"/>
  <c r="F24" i="34" a="1"/>
  <c r="E37" i="28" a="1"/>
  <c r="E38" i="34" a="1"/>
  <c r="C17" i="34" a="1"/>
  <c r="D10" i="34" a="1"/>
  <c r="G38" i="32" a="1"/>
  <c r="C23" i="26" a="1"/>
  <c r="F31" i="34" a="1"/>
  <c r="C24" i="34" a="1"/>
  <c r="D31" i="32" a="1"/>
  <c r="C37" i="28" a="1"/>
  <c r="D31" i="34" a="1"/>
  <c r="E24" i="34" a="1"/>
  <c r="D9" i="26" a="1"/>
  <c r="D10" i="34" l="1"/>
  <c r="D12" i="34" s="1"/>
  <c r="D31" i="34"/>
  <c r="F31" i="34"/>
  <c r="E24" i="34"/>
  <c r="E26" i="34" s="1"/>
  <c r="E31" i="34"/>
  <c r="F24" i="34"/>
  <c r="D38" i="34"/>
  <c r="C31" i="34"/>
  <c r="E10" i="34"/>
  <c r="C17" i="34"/>
  <c r="C19" i="34" s="1"/>
  <c r="C10" i="34"/>
  <c r="C12" i="34" s="1"/>
  <c r="E38" i="34"/>
  <c r="G38" i="34"/>
  <c r="G40" i="34" s="1"/>
  <c r="F38" i="34"/>
  <c r="F40" i="34" s="1"/>
  <c r="D17" i="34"/>
  <c r="D19" i="34" s="1"/>
  <c r="D24" i="34"/>
  <c r="C24" i="34"/>
  <c r="E17" i="34"/>
  <c r="E19" i="34" s="1"/>
  <c r="H10" i="33"/>
  <c r="J10" i="33"/>
  <c r="V10" i="33"/>
  <c r="I10" i="33"/>
  <c r="W10" i="33"/>
  <c r="F10" i="33"/>
  <c r="L10" i="33"/>
  <c r="G10" i="33"/>
  <c r="M10" i="33"/>
  <c r="P10" i="33"/>
  <c r="K10" i="33"/>
  <c r="N10" i="33"/>
  <c r="R10" i="33"/>
  <c r="O10" i="33"/>
  <c r="Q10" i="33"/>
  <c r="U10" i="33"/>
  <c r="T10" i="33"/>
  <c r="S10" i="33"/>
  <c r="E17" i="32"/>
  <c r="E19" i="32" s="1"/>
  <c r="S10" i="31"/>
  <c r="D17" i="32"/>
  <c r="D19" i="32" s="1"/>
  <c r="Q10" i="31"/>
  <c r="D38" i="32"/>
  <c r="F31" i="32"/>
  <c r="D10" i="32"/>
  <c r="D12" i="32" s="1"/>
  <c r="C31" i="32"/>
  <c r="E38" i="32"/>
  <c r="C10" i="32"/>
  <c r="C12" i="32" s="1"/>
  <c r="C17" i="32"/>
  <c r="C19" i="32" s="1"/>
  <c r="G38" i="32"/>
  <c r="G40" i="32" s="1"/>
  <c r="D31" i="32"/>
  <c r="E10" i="32"/>
  <c r="E31" i="32"/>
  <c r="F38" i="32"/>
  <c r="F40" i="32" s="1"/>
  <c r="C24" i="32"/>
  <c r="F10" i="31"/>
  <c r="J10" i="31"/>
  <c r="L10" i="31"/>
  <c r="G10" i="31"/>
  <c r="N10" i="31"/>
  <c r="K10" i="31"/>
  <c r="P10" i="31"/>
  <c r="R10" i="31"/>
  <c r="H10" i="31"/>
  <c r="M10" i="31"/>
  <c r="I10" i="31"/>
  <c r="O10" i="31"/>
  <c r="T10" i="31"/>
  <c r="L8" i="27"/>
  <c r="L10" i="27" s="1"/>
  <c r="P8" i="20"/>
  <c r="P10" i="20" s="1"/>
  <c r="J8" i="20"/>
  <c r="D17" i="22"/>
  <c r="D19" i="22" s="1"/>
  <c r="F38" i="22"/>
  <c r="F40" i="22" s="1"/>
  <c r="Q10" i="20"/>
  <c r="K8" i="20"/>
  <c r="N8" i="20"/>
  <c r="O10" i="20"/>
  <c r="S8" i="27"/>
  <c r="S10" i="27" s="1"/>
  <c r="Q8" i="27"/>
  <c r="Q10" i="27" s="1"/>
  <c r="C37" i="28"/>
  <c r="D9" i="28"/>
  <c r="F37" i="28"/>
  <c r="C9" i="28"/>
  <c r="D16" i="28"/>
  <c r="E37" i="28"/>
  <c r="C23" i="28"/>
  <c r="E16" i="28"/>
  <c r="F23" i="28"/>
  <c r="J8" i="27"/>
  <c r="J10" i="27" s="1"/>
  <c r="M8" i="27"/>
  <c r="M10" i="27" s="1"/>
  <c r="I8" i="27"/>
  <c r="I10" i="27" s="1"/>
  <c r="P8" i="27"/>
  <c r="P10" i="27" s="1"/>
  <c r="W8" i="27"/>
  <c r="W10" i="27" s="1"/>
  <c r="V8" i="27"/>
  <c r="V10" i="27" s="1"/>
  <c r="H8" i="27"/>
  <c r="H10" i="27" s="1"/>
  <c r="N8" i="27"/>
  <c r="N10" i="27" s="1"/>
  <c r="U8" i="27"/>
  <c r="U10" i="27" s="1"/>
  <c r="G8" i="27"/>
  <c r="G10" i="27" s="1"/>
  <c r="T8" i="27"/>
  <c r="T10" i="27" s="1"/>
  <c r="O8" i="27"/>
  <c r="O10" i="27" s="1"/>
  <c r="E8" i="27"/>
  <c r="E10" i="27" s="1"/>
  <c r="R8" i="27"/>
  <c r="R10" i="27" s="1"/>
  <c r="F8" i="27"/>
  <c r="F10" i="27" s="1"/>
  <c r="E9" i="26"/>
  <c r="D9" i="26"/>
  <c r="E37" i="26"/>
  <c r="F37" i="26"/>
  <c r="C23" i="26"/>
  <c r="C9" i="26"/>
  <c r="E16" i="26"/>
  <c r="D16" i="26"/>
  <c r="G37" i="26"/>
  <c r="M18" i="25"/>
  <c r="L18" i="25"/>
  <c r="O18" i="25"/>
  <c r="K18" i="25"/>
  <c r="W18" i="25"/>
  <c r="N18" i="25"/>
  <c r="J18" i="25"/>
  <c r="I18" i="25"/>
  <c r="F18" i="25"/>
  <c r="Q18" i="25"/>
  <c r="V18" i="25"/>
  <c r="H18" i="25"/>
  <c r="U18" i="25"/>
  <c r="G18" i="25"/>
  <c r="T18" i="25"/>
  <c r="P18" i="25"/>
  <c r="S18" i="25"/>
  <c r="E18" i="25"/>
  <c r="R18" i="25"/>
  <c r="W14" i="25"/>
  <c r="I14" i="25"/>
  <c r="V14" i="25"/>
  <c r="H14" i="25"/>
  <c r="U14" i="25"/>
  <c r="G14" i="25"/>
  <c r="S14" i="25"/>
  <c r="D8" i="25"/>
  <c r="P14" i="25"/>
  <c r="T14" i="25"/>
  <c r="F14" i="25"/>
  <c r="E14" i="25"/>
  <c r="R14" i="25"/>
  <c r="Q14" i="25"/>
  <c r="M14" i="25"/>
  <c r="L14" i="25"/>
  <c r="J14" i="25"/>
  <c r="O14" i="25"/>
  <c r="N14" i="25"/>
  <c r="K14" i="25"/>
  <c r="U20" i="23"/>
  <c r="P20" i="23"/>
  <c r="M20" i="23"/>
  <c r="W20" i="23"/>
  <c r="L20" i="23"/>
  <c r="G2" i="24"/>
  <c r="U17" i="23"/>
  <c r="G17" i="23"/>
  <c r="S17" i="23"/>
  <c r="O17" i="23"/>
  <c r="J17" i="23"/>
  <c r="T17" i="23"/>
  <c r="F17" i="23"/>
  <c r="E17" i="23"/>
  <c r="H17" i="23"/>
  <c r="R17" i="23"/>
  <c r="Q17" i="23"/>
  <c r="P17" i="23"/>
  <c r="V17" i="23"/>
  <c r="N17" i="23"/>
  <c r="I17" i="23"/>
  <c r="M17" i="23"/>
  <c r="W17" i="23"/>
  <c r="L17" i="23"/>
  <c r="K17" i="23"/>
  <c r="K14" i="23"/>
  <c r="W14" i="23"/>
  <c r="I14" i="23"/>
  <c r="F14" i="23"/>
  <c r="E14" i="23"/>
  <c r="D8" i="23"/>
  <c r="J14" i="23"/>
  <c r="L14" i="23"/>
  <c r="V14" i="23"/>
  <c r="H14" i="23"/>
  <c r="U14" i="23"/>
  <c r="G14" i="23"/>
  <c r="T14" i="23"/>
  <c r="S14" i="23"/>
  <c r="R14" i="23"/>
  <c r="M14" i="23"/>
  <c r="Q14" i="23"/>
  <c r="P14" i="23"/>
  <c r="O14" i="23"/>
  <c r="N14" i="23"/>
  <c r="M16" i="23"/>
  <c r="K16" i="23"/>
  <c r="H16" i="23"/>
  <c r="G16" i="23"/>
  <c r="O16" i="23"/>
  <c r="N16" i="23"/>
  <c r="L16" i="23"/>
  <c r="P16" i="23"/>
  <c r="J16" i="23"/>
  <c r="W16" i="23"/>
  <c r="I16" i="23"/>
  <c r="V16" i="23"/>
  <c r="U16" i="23"/>
  <c r="T16" i="23"/>
  <c r="F16" i="23"/>
  <c r="S16" i="23"/>
  <c r="E16" i="23"/>
  <c r="R16" i="23"/>
  <c r="Q16" i="23"/>
  <c r="W19" i="23"/>
  <c r="I19" i="23"/>
  <c r="U19" i="23"/>
  <c r="G19" i="23"/>
  <c r="R19" i="23"/>
  <c r="V19" i="23"/>
  <c r="H19" i="23"/>
  <c r="T19" i="23"/>
  <c r="F19" i="23"/>
  <c r="S19" i="23"/>
  <c r="E19" i="23"/>
  <c r="Q19" i="23"/>
  <c r="P19" i="23"/>
  <c r="L19" i="23"/>
  <c r="K19" i="23"/>
  <c r="O19" i="23"/>
  <c r="N19" i="23"/>
  <c r="M19" i="23"/>
  <c r="J19" i="23"/>
  <c r="U18" i="19"/>
  <c r="V18" i="19"/>
  <c r="Q18" i="19"/>
  <c r="H18" i="19"/>
  <c r="W18" i="19"/>
  <c r="T18" i="19"/>
  <c r="E18" i="19"/>
  <c r="O18" i="19"/>
  <c r="M18" i="19"/>
  <c r="S18" i="19"/>
  <c r="L18" i="19"/>
  <c r="P18" i="19"/>
  <c r="J18" i="19"/>
  <c r="K18" i="19"/>
  <c r="F18" i="19"/>
  <c r="N18" i="19"/>
  <c r="G2" i="22"/>
  <c r="G2" i="21"/>
  <c r="M8" i="20"/>
  <c r="S8" i="20"/>
  <c r="F8" i="20"/>
  <c r="T8" i="20"/>
  <c r="I8" i="20"/>
  <c r="G8" i="20"/>
  <c r="R8" i="20"/>
  <c r="E8" i="20"/>
  <c r="E10" i="20" s="1"/>
  <c r="L8" i="20"/>
  <c r="H8" i="20"/>
  <c r="V8" i="20"/>
  <c r="W8" i="20"/>
  <c r="U8" i="20"/>
  <c r="W16" i="19"/>
  <c r="I16" i="19"/>
  <c r="I8" i="19" s="1"/>
  <c r="S16" i="19"/>
  <c r="O16" i="19"/>
  <c r="L16" i="19"/>
  <c r="V16" i="19"/>
  <c r="H16" i="19"/>
  <c r="F16" i="19"/>
  <c r="E16" i="19"/>
  <c r="P16" i="19"/>
  <c r="N16" i="19"/>
  <c r="U16" i="19"/>
  <c r="G16" i="19"/>
  <c r="G8" i="19" s="1"/>
  <c r="T16" i="19"/>
  <c r="R16" i="19"/>
  <c r="R8" i="19" s="1"/>
  <c r="Q16" i="19"/>
  <c r="M16" i="19"/>
  <c r="K16" i="19"/>
  <c r="J16" i="19"/>
  <c r="D8" i="19"/>
  <c r="E31" i="22" a="1"/>
  <c r="F31" i="22" a="1"/>
  <c r="E10" i="22" a="1"/>
  <c r="C31" i="21" a="1"/>
  <c r="E17" i="22" a="1"/>
  <c r="F24" i="22" a="1"/>
  <c r="D24" i="22" a="1"/>
  <c r="G38" i="22" a="1"/>
  <c r="E38" i="22" a="1"/>
  <c r="D38" i="22" a="1"/>
  <c r="C31" i="22" a="1"/>
  <c r="D10" i="22" a="1"/>
  <c r="C10" i="22" a="1"/>
  <c r="G38" i="21" a="1"/>
  <c r="D31" i="22" a="1"/>
  <c r="C24" i="22" a="1"/>
  <c r="E24" i="22" a="1"/>
  <c r="E31" i="21" a="1"/>
  <c r="C17" i="22" a="1"/>
  <c r="C7" i="34" l="1"/>
  <c r="C38" i="34" s="1"/>
  <c r="C5" i="34"/>
  <c r="C6" i="34"/>
  <c r="C6" i="32"/>
  <c r="C5" i="32"/>
  <c r="C7" i="32"/>
  <c r="C38" i="32" s="1"/>
  <c r="Q8" i="19"/>
  <c r="P8" i="19"/>
  <c r="P10" i="19" s="1"/>
  <c r="E8" i="19"/>
  <c r="E10" i="19" s="1"/>
  <c r="C17" i="22"/>
  <c r="C19" i="22" s="1"/>
  <c r="F31" i="22"/>
  <c r="U8" i="19"/>
  <c r="U10" i="19" s="1"/>
  <c r="H8" i="19"/>
  <c r="H10" i="19" s="1"/>
  <c r="M8" i="19"/>
  <c r="M10" i="19" s="1"/>
  <c r="J10" i="20"/>
  <c r="D38" i="22"/>
  <c r="E17" i="22"/>
  <c r="E19" i="22" s="1"/>
  <c r="G38" i="22"/>
  <c r="G40" i="22" s="1"/>
  <c r="C31" i="22"/>
  <c r="D24" i="22"/>
  <c r="C31" i="21"/>
  <c r="F24" i="22"/>
  <c r="C24" i="22"/>
  <c r="E10" i="22"/>
  <c r="E24" i="22"/>
  <c r="E26" i="22" s="1"/>
  <c r="E38" i="22"/>
  <c r="D31" i="22"/>
  <c r="C10" i="22"/>
  <c r="C12" i="22" s="1"/>
  <c r="E31" i="22"/>
  <c r="E31" i="21"/>
  <c r="G38" i="21"/>
  <c r="G40" i="21" s="1"/>
  <c r="D10" i="22"/>
  <c r="D12" i="22" s="1"/>
  <c r="F10" i="20"/>
  <c r="S10" i="20"/>
  <c r="R10" i="20"/>
  <c r="G10" i="20"/>
  <c r="T8" i="19"/>
  <c r="U10" i="20"/>
  <c r="G10" i="19"/>
  <c r="W10" i="20"/>
  <c r="T10" i="20"/>
  <c r="M10" i="20"/>
  <c r="V10" i="20"/>
  <c r="N10" i="20"/>
  <c r="H10" i="20"/>
  <c r="K10" i="20"/>
  <c r="I10" i="20"/>
  <c r="O8" i="19"/>
  <c r="I10" i="19"/>
  <c r="R10" i="19"/>
  <c r="L10" i="20"/>
  <c r="E8" i="25"/>
  <c r="E10" i="25" s="1"/>
  <c r="R8" i="25"/>
  <c r="R10" i="25" s="1"/>
  <c r="T8" i="25"/>
  <c r="S8" i="25"/>
  <c r="Q8" i="25"/>
  <c r="P8" i="25"/>
  <c r="F8" i="25"/>
  <c r="K8" i="25"/>
  <c r="G8" i="25"/>
  <c r="N8" i="25"/>
  <c r="U8" i="25"/>
  <c r="O8" i="25"/>
  <c r="H8" i="25"/>
  <c r="J8" i="25"/>
  <c r="V8" i="25"/>
  <c r="L8" i="25"/>
  <c r="I8" i="25"/>
  <c r="M8" i="25"/>
  <c r="W8" i="25"/>
  <c r="H8" i="23"/>
  <c r="M8" i="23"/>
  <c r="M10" i="23" s="1"/>
  <c r="K8" i="23"/>
  <c r="K10" i="23" s="1"/>
  <c r="S8" i="23"/>
  <c r="S10" i="23" s="1"/>
  <c r="V8" i="23"/>
  <c r="J8" i="23"/>
  <c r="N8" i="23"/>
  <c r="R8" i="23"/>
  <c r="O8" i="23"/>
  <c r="E8" i="23"/>
  <c r="E10" i="23" s="1"/>
  <c r="P8" i="23"/>
  <c r="F8" i="23"/>
  <c r="W8" i="23"/>
  <c r="L8" i="23"/>
  <c r="Q8" i="23"/>
  <c r="I8" i="23"/>
  <c r="T8" i="23"/>
  <c r="G8" i="23"/>
  <c r="U8" i="23"/>
  <c r="V8" i="19"/>
  <c r="L8" i="19"/>
  <c r="N8" i="19"/>
  <c r="F8" i="19"/>
  <c r="K8" i="19"/>
  <c r="J8" i="19"/>
  <c r="S8" i="19"/>
  <c r="W8" i="19"/>
  <c r="E31" i="24" a="1"/>
  <c r="E10" i="28" a="1"/>
  <c r="C24" i="26" a="1"/>
  <c r="E38" i="28" a="1"/>
  <c r="G38" i="28" a="1"/>
  <c r="E10" i="24" a="1"/>
  <c r="E17" i="24" a="1"/>
  <c r="F24" i="21" a="1"/>
  <c r="F38" i="28" a="1"/>
  <c r="D38" i="21" a="1"/>
  <c r="F31" i="24" a="1"/>
  <c r="D24" i="28" a="1"/>
  <c r="E31" i="28" a="1"/>
  <c r="D38" i="24" a="1"/>
  <c r="C31" i="28" a="1"/>
  <c r="D31" i="24" a="1"/>
  <c r="C17" i="21" a="1"/>
  <c r="C31" i="24" a="1"/>
  <c r="F38" i="26" a="1"/>
  <c r="D10" i="28" a="1"/>
  <c r="C17" i="24" a="1"/>
  <c r="E24" i="24" a="1"/>
  <c r="C10" i="21" a="1"/>
  <c r="D10" i="24" a="1"/>
  <c r="C24" i="28" a="1"/>
  <c r="C24" i="21" a="1"/>
  <c r="E17" i="28" a="1"/>
  <c r="F31" i="21" a="1"/>
  <c r="E24" i="21" a="1"/>
  <c r="D38" i="28" a="1"/>
  <c r="D17" i="26" a="1"/>
  <c r="E38" i="26" a="1"/>
  <c r="E38" i="24" a="1"/>
  <c r="F24" i="26" a="1"/>
  <c r="F31" i="26" a="1"/>
  <c r="F24" i="28" a="1"/>
  <c r="C17" i="28" a="1"/>
  <c r="C10" i="28" a="1"/>
  <c r="E10" i="21" a="1"/>
  <c r="F38" i="24" a="1"/>
  <c r="E17" i="26" a="1"/>
  <c r="D24" i="21" a="1"/>
  <c r="D31" i="28" a="1"/>
  <c r="D10" i="21" a="1"/>
  <c r="D17" i="21" a="1"/>
  <c r="C24" i="24" a="1"/>
  <c r="C31" i="26" a="1"/>
  <c r="D17" i="24" a="1"/>
  <c r="E24" i="26" a="1"/>
  <c r="D24" i="26" a="1"/>
  <c r="D17" i="28" a="1"/>
  <c r="C10" i="24" a="1"/>
  <c r="D31" i="26" a="1"/>
  <c r="C17" i="26" a="1"/>
  <c r="D10" i="26" a="1"/>
  <c r="E38" i="21" a="1"/>
  <c r="E10" i="26" a="1"/>
  <c r="G38" i="24" a="1"/>
  <c r="D31" i="21" a="1"/>
  <c r="F38" i="21" a="1"/>
  <c r="D24" i="24" a="1"/>
  <c r="F31" i="28" a="1"/>
  <c r="E31" i="26" a="1"/>
  <c r="G38" i="26" a="1"/>
  <c r="C10" i="26" a="1"/>
  <c r="E24" i="28" a="1"/>
  <c r="F24" i="24" a="1"/>
  <c r="D38" i="26" a="1"/>
  <c r="E17" i="21" a="1"/>
  <c r="D17" i="21" l="1"/>
  <c r="D19" i="21" s="1"/>
  <c r="Q10" i="19"/>
  <c r="C17" i="21"/>
  <c r="C19" i="21" s="1"/>
  <c r="D31" i="21"/>
  <c r="D24" i="21"/>
  <c r="E10" i="21"/>
  <c r="C7" i="22"/>
  <c r="C38" i="22" s="1"/>
  <c r="C6" i="22"/>
  <c r="F31" i="21"/>
  <c r="C24" i="21"/>
  <c r="F38" i="21"/>
  <c r="F40" i="21" s="1"/>
  <c r="F24" i="21"/>
  <c r="E17" i="21"/>
  <c r="E19" i="21" s="1"/>
  <c r="C10" i="21"/>
  <c r="C12" i="21" s="1"/>
  <c r="D38" i="21"/>
  <c r="E38" i="21"/>
  <c r="D10" i="21"/>
  <c r="D12" i="21" s="1"/>
  <c r="E24" i="21"/>
  <c r="E26" i="21" s="1"/>
  <c r="J10" i="19"/>
  <c r="T10" i="19"/>
  <c r="C5" i="22"/>
  <c r="O10" i="19"/>
  <c r="W10" i="19"/>
  <c r="S10" i="19"/>
  <c r="K10" i="19"/>
  <c r="F10" i="19"/>
  <c r="N10" i="19"/>
  <c r="L10" i="19"/>
  <c r="V10" i="19"/>
  <c r="C24" i="28"/>
  <c r="C17" i="28"/>
  <c r="C19" i="28" s="1"/>
  <c r="E10" i="28"/>
  <c r="E24" i="28"/>
  <c r="E26" i="28" s="1"/>
  <c r="F31" i="28"/>
  <c r="E31" i="28"/>
  <c r="D31" i="28"/>
  <c r="D38" i="28"/>
  <c r="E17" i="28"/>
  <c r="E19" i="28" s="1"/>
  <c r="F38" i="28"/>
  <c r="F40" i="28" s="1"/>
  <c r="C10" i="28"/>
  <c r="C12" i="28" s="1"/>
  <c r="F24" i="28"/>
  <c r="D10" i="28"/>
  <c r="D12" i="28" s="1"/>
  <c r="D24" i="28"/>
  <c r="D17" i="28"/>
  <c r="D19" i="28" s="1"/>
  <c r="G38" i="28"/>
  <c r="G40" i="28" s="1"/>
  <c r="E38" i="28"/>
  <c r="C31" i="28"/>
  <c r="T10" i="25"/>
  <c r="S10" i="25"/>
  <c r="Q10" i="25"/>
  <c r="G38" i="26"/>
  <c r="G40" i="26" s="1"/>
  <c r="E17" i="26"/>
  <c r="E19" i="26" s="1"/>
  <c r="C24" i="26"/>
  <c r="D17" i="26"/>
  <c r="D19" i="26" s="1"/>
  <c r="D38" i="26"/>
  <c r="F24" i="26"/>
  <c r="E10" i="26"/>
  <c r="E31" i="26"/>
  <c r="E24" i="26"/>
  <c r="E26" i="26" s="1"/>
  <c r="C10" i="26"/>
  <c r="C12" i="26" s="1"/>
  <c r="C17" i="26"/>
  <c r="C19" i="26" s="1"/>
  <c r="D10" i="26"/>
  <c r="D12" i="26" s="1"/>
  <c r="F31" i="26"/>
  <c r="D31" i="26"/>
  <c r="F38" i="26"/>
  <c r="F40" i="26" s="1"/>
  <c r="D24" i="26"/>
  <c r="E38" i="26"/>
  <c r="C31" i="26"/>
  <c r="F10" i="25"/>
  <c r="W10" i="25"/>
  <c r="M10" i="25"/>
  <c r="I10" i="25"/>
  <c r="V10" i="25"/>
  <c r="K10" i="25"/>
  <c r="P10" i="25"/>
  <c r="L10" i="25"/>
  <c r="J10" i="25"/>
  <c r="H10" i="25"/>
  <c r="O10" i="25"/>
  <c r="U10" i="25"/>
  <c r="N10" i="25"/>
  <c r="G10" i="25"/>
  <c r="D31" i="24"/>
  <c r="H10" i="23"/>
  <c r="C10" i="24"/>
  <c r="C12" i="24" s="1"/>
  <c r="E17" i="24"/>
  <c r="E19" i="24" s="1"/>
  <c r="E10" i="24"/>
  <c r="D24" i="24"/>
  <c r="F31" i="24"/>
  <c r="C24" i="24"/>
  <c r="F24" i="24"/>
  <c r="C17" i="24"/>
  <c r="C19" i="24" s="1"/>
  <c r="C31" i="24"/>
  <c r="E31" i="24"/>
  <c r="D17" i="24"/>
  <c r="D19" i="24" s="1"/>
  <c r="D10" i="24"/>
  <c r="D12" i="24" s="1"/>
  <c r="D38" i="24"/>
  <c r="E38" i="24"/>
  <c r="E24" i="24"/>
  <c r="E26" i="24" s="1"/>
  <c r="F38" i="24"/>
  <c r="F40" i="24" s="1"/>
  <c r="G38" i="24"/>
  <c r="G40" i="24" s="1"/>
  <c r="U10" i="23"/>
  <c r="J10" i="23"/>
  <c r="T10" i="23"/>
  <c r="W10" i="23"/>
  <c r="P10" i="23"/>
  <c r="G10" i="23"/>
  <c r="I10" i="23"/>
  <c r="Q10" i="23"/>
  <c r="L10" i="23"/>
  <c r="F10" i="23"/>
  <c r="N10" i="23"/>
  <c r="V10" i="23"/>
  <c r="O10" i="23"/>
  <c r="R10" i="23"/>
  <c r="C6" i="21" l="1"/>
  <c r="C5" i="21"/>
  <c r="C7" i="21"/>
  <c r="C38" i="21" s="1"/>
  <c r="C6" i="28"/>
  <c r="C5" i="28"/>
  <c r="C7" i="28"/>
  <c r="C38" i="28" s="1"/>
  <c r="C7" i="26"/>
  <c r="C38" i="26" s="1"/>
  <c r="C5" i="26"/>
  <c r="C6" i="26"/>
  <c r="C5" i="24"/>
  <c r="C6" i="24"/>
  <c r="C7" i="24"/>
  <c r="C38" i="24" s="1"/>
  <c r="G41" i="18" l="1"/>
  <c r="F41" i="18"/>
  <c r="E41" i="18"/>
  <c r="D41" i="18"/>
  <c r="C41" i="18"/>
  <c r="F34" i="18"/>
  <c r="E34" i="18"/>
  <c r="D34" i="18"/>
  <c r="C34" i="18"/>
  <c r="F27" i="18"/>
  <c r="E27" i="18"/>
  <c r="D27" i="18"/>
  <c r="C27" i="18"/>
  <c r="E20" i="18"/>
  <c r="D20" i="18"/>
  <c r="C20" i="18"/>
  <c r="E13" i="18"/>
  <c r="D13" i="18"/>
  <c r="C13" i="18"/>
  <c r="A3" i="18"/>
  <c r="D2" i="18"/>
  <c r="C12" i="17"/>
  <c r="D10" i="17"/>
  <c r="C8" i="17"/>
  <c r="C7" i="17"/>
  <c r="D16" i="17" s="1"/>
  <c r="D6" i="17"/>
  <c r="A5" i="9"/>
  <c r="C12" i="10"/>
  <c r="C12" i="5"/>
  <c r="C12" i="7"/>
  <c r="C12" i="13"/>
  <c r="C12" i="15"/>
  <c r="K16" i="17" l="1"/>
  <c r="M16" i="17"/>
  <c r="P16" i="17"/>
  <c r="L16" i="17"/>
  <c r="O16" i="17"/>
  <c r="Q16" i="17"/>
  <c r="N16" i="17"/>
  <c r="D15" i="17"/>
  <c r="N15" i="17" s="1"/>
  <c r="Q15" i="17"/>
  <c r="P15" i="17"/>
  <c r="I15" i="17"/>
  <c r="E15" i="17"/>
  <c r="F15" i="17"/>
  <c r="G15" i="17"/>
  <c r="H15" i="17"/>
  <c r="R15" i="17"/>
  <c r="S15" i="17"/>
  <c r="S16" i="17"/>
  <c r="D14" i="17"/>
  <c r="T16" i="17"/>
  <c r="U16" i="17"/>
  <c r="I16" i="17"/>
  <c r="W16" i="17"/>
  <c r="R16" i="17"/>
  <c r="E16" i="17"/>
  <c r="F16" i="17"/>
  <c r="G16" i="17"/>
  <c r="H16" i="17"/>
  <c r="V16" i="17"/>
  <c r="J16" i="17"/>
  <c r="G2" i="18" a="1"/>
  <c r="O15" i="17" l="1"/>
  <c r="W15" i="17"/>
  <c r="K15" i="17"/>
  <c r="L15" i="17"/>
  <c r="M15" i="17"/>
  <c r="V15" i="17"/>
  <c r="U15" i="17"/>
  <c r="J15" i="17"/>
  <c r="T15" i="17"/>
  <c r="G2" i="18"/>
  <c r="W14" i="17"/>
  <c r="I14" i="17"/>
  <c r="I8" i="17" s="1"/>
  <c r="V14" i="17"/>
  <c r="H14" i="17"/>
  <c r="T14" i="17"/>
  <c r="F14" i="17"/>
  <c r="S14" i="17"/>
  <c r="D8" i="17"/>
  <c r="R14" i="17"/>
  <c r="Q14" i="17"/>
  <c r="P14" i="17"/>
  <c r="O14" i="17"/>
  <c r="U14" i="17"/>
  <c r="G14" i="17"/>
  <c r="G8" i="17" s="1"/>
  <c r="E14" i="17"/>
  <c r="J14" i="17"/>
  <c r="L14" i="17"/>
  <c r="K14" i="17"/>
  <c r="N14" i="17"/>
  <c r="M14" i="17"/>
  <c r="E31" i="18" a="1"/>
  <c r="C31" i="18" a="1"/>
  <c r="V8" i="17" l="1"/>
  <c r="V10" i="17" s="1"/>
  <c r="W8" i="17"/>
  <c r="K8" i="17"/>
  <c r="K10" i="17" s="1"/>
  <c r="L8" i="17"/>
  <c r="L10" i="17" s="1"/>
  <c r="J8" i="17"/>
  <c r="J10" i="17" s="1"/>
  <c r="E8" i="17"/>
  <c r="E10" i="17" s="1"/>
  <c r="E31" i="18"/>
  <c r="C31" i="18"/>
  <c r="I10" i="17"/>
  <c r="G10" i="17"/>
  <c r="Q8" i="17"/>
  <c r="H8" i="17"/>
  <c r="U8" i="17"/>
  <c r="O8" i="17"/>
  <c r="P8" i="17"/>
  <c r="R8" i="17"/>
  <c r="S8" i="17"/>
  <c r="M8" i="17"/>
  <c r="F8" i="17"/>
  <c r="N8" i="17"/>
  <c r="T8" i="17"/>
  <c r="C10" i="18" a="1"/>
  <c r="G38" i="18" a="1"/>
  <c r="F31" i="18" a="1"/>
  <c r="D17" i="18" a="1"/>
  <c r="C24" i="18" a="1"/>
  <c r="E38" i="18" a="1"/>
  <c r="F38" i="18" a="1"/>
  <c r="D31" i="18" a="1"/>
  <c r="F24" i="18" a="1"/>
  <c r="D10" i="18" a="1"/>
  <c r="E17" i="18" a="1"/>
  <c r="D38" i="18" a="1"/>
  <c r="E24" i="18" a="1"/>
  <c r="D24" i="18" a="1"/>
  <c r="E10" i="18" a="1"/>
  <c r="C17" i="18" a="1"/>
  <c r="E24" i="18" l="1"/>
  <c r="E26" i="18" s="1"/>
  <c r="F24" i="18"/>
  <c r="W10" i="17"/>
  <c r="D10" i="18"/>
  <c r="D12" i="18" s="1"/>
  <c r="C10" i="18"/>
  <c r="C12" i="18" s="1"/>
  <c r="F31" i="18"/>
  <c r="C17" i="18"/>
  <c r="C19" i="18" s="1"/>
  <c r="C24" i="18"/>
  <c r="E38" i="18"/>
  <c r="D38" i="18"/>
  <c r="E10" i="18"/>
  <c r="E17" i="18"/>
  <c r="E19" i="18" s="1"/>
  <c r="G38" i="18"/>
  <c r="G40" i="18" s="1"/>
  <c r="F38" i="18"/>
  <c r="F40" i="18" s="1"/>
  <c r="D24" i="18"/>
  <c r="D31" i="18"/>
  <c r="D17" i="18"/>
  <c r="D19" i="18" s="1"/>
  <c r="P10" i="17"/>
  <c r="T10" i="17"/>
  <c r="N10" i="17"/>
  <c r="F10" i="17"/>
  <c r="M10" i="17"/>
  <c r="S10" i="17"/>
  <c r="R10" i="17"/>
  <c r="O10" i="17"/>
  <c r="U10" i="17"/>
  <c r="H10" i="17"/>
  <c r="Q10" i="17"/>
  <c r="C7" i="18" l="1"/>
  <c r="C38" i="18" s="1"/>
  <c r="C5" i="18"/>
  <c r="C6" i="18"/>
  <c r="G41" i="16"/>
  <c r="F41" i="16"/>
  <c r="E41" i="16"/>
  <c r="D41" i="16"/>
  <c r="C41" i="16"/>
  <c r="F34" i="16"/>
  <c r="E34" i="16"/>
  <c r="D34" i="16"/>
  <c r="C34" i="16"/>
  <c r="F27" i="16"/>
  <c r="E27" i="16"/>
  <c r="D27" i="16"/>
  <c r="C27" i="16"/>
  <c r="E20" i="16"/>
  <c r="D20" i="16"/>
  <c r="C20" i="16"/>
  <c r="E13" i="16"/>
  <c r="D13" i="16"/>
  <c r="C13" i="16"/>
  <c r="A3" i="16"/>
  <c r="D2" i="16"/>
  <c r="D10" i="15"/>
  <c r="C8" i="15"/>
  <c r="C7" i="15"/>
  <c r="D6" i="15"/>
  <c r="G15" i="13"/>
  <c r="G41" i="14"/>
  <c r="F41" i="14"/>
  <c r="E41" i="14"/>
  <c r="D41" i="14"/>
  <c r="C41" i="14"/>
  <c r="F34" i="14"/>
  <c r="E34" i="14"/>
  <c r="D34" i="14"/>
  <c r="C34" i="14"/>
  <c r="F27" i="14"/>
  <c r="E27" i="14"/>
  <c r="D27" i="14"/>
  <c r="C27" i="14"/>
  <c r="E20" i="14"/>
  <c r="D20" i="14"/>
  <c r="C20" i="14"/>
  <c r="E13" i="14"/>
  <c r="D13" i="14"/>
  <c r="C13" i="14"/>
  <c r="A3" i="14"/>
  <c r="D2" i="14"/>
  <c r="D18" i="13"/>
  <c r="K18" i="13" s="1"/>
  <c r="L16" i="13"/>
  <c r="D16" i="13"/>
  <c r="W16" i="13" s="1"/>
  <c r="Q15" i="13"/>
  <c r="D15" i="13"/>
  <c r="O15" i="13" s="1"/>
  <c r="D10" i="13"/>
  <c r="C8" i="13"/>
  <c r="D14" i="13"/>
  <c r="D6" i="13"/>
  <c r="G41" i="12"/>
  <c r="F41" i="12"/>
  <c r="E41" i="12"/>
  <c r="D41" i="12"/>
  <c r="C41" i="12"/>
  <c r="F34" i="12"/>
  <c r="E34" i="12"/>
  <c r="D34" i="12"/>
  <c r="C34" i="12"/>
  <c r="F27" i="12"/>
  <c r="E27" i="12"/>
  <c r="D27" i="12"/>
  <c r="C27" i="12"/>
  <c r="E20" i="12"/>
  <c r="D20" i="12"/>
  <c r="C20" i="12"/>
  <c r="E13" i="12"/>
  <c r="D13" i="12"/>
  <c r="A3" i="12"/>
  <c r="D2" i="12"/>
  <c r="D41" i="6"/>
  <c r="E41" i="6"/>
  <c r="F41" i="6"/>
  <c r="G41" i="6"/>
  <c r="C41" i="6"/>
  <c r="D34" i="6"/>
  <c r="E34" i="6"/>
  <c r="F34" i="6"/>
  <c r="C34" i="6"/>
  <c r="D27" i="6"/>
  <c r="E27" i="6"/>
  <c r="F27" i="6"/>
  <c r="C27" i="6"/>
  <c r="D20" i="6"/>
  <c r="E20" i="6"/>
  <c r="C20" i="6"/>
  <c r="E13" i="6"/>
  <c r="D13" i="6"/>
  <c r="C13" i="6"/>
  <c r="G3" i="12" a="1"/>
  <c r="G3" i="14" a="1"/>
  <c r="F23" i="12" a="1"/>
  <c r="G3" i="16" a="1"/>
  <c r="G3" i="16" l="1"/>
  <c r="D16" i="15"/>
  <c r="D18" i="15"/>
  <c r="G3" i="14"/>
  <c r="G3" i="12"/>
  <c r="D19" i="15"/>
  <c r="I19" i="15" s="1"/>
  <c r="S16" i="15"/>
  <c r="E16" i="15"/>
  <c r="R16" i="15"/>
  <c r="Q16" i="15"/>
  <c r="P16" i="15"/>
  <c r="O16" i="15"/>
  <c r="L16" i="15"/>
  <c r="K16" i="15"/>
  <c r="W16" i="15"/>
  <c r="H16" i="15"/>
  <c r="G16" i="15"/>
  <c r="N16" i="15"/>
  <c r="M16" i="15"/>
  <c r="J16" i="15"/>
  <c r="I16" i="15"/>
  <c r="V16" i="15"/>
  <c r="U16" i="15"/>
  <c r="T16" i="15"/>
  <c r="F16" i="15"/>
  <c r="D17" i="15"/>
  <c r="D15" i="15"/>
  <c r="D14" i="15"/>
  <c r="G16" i="13"/>
  <c r="J18" i="13"/>
  <c r="O18" i="13"/>
  <c r="N16" i="13"/>
  <c r="P18" i="13"/>
  <c r="I18" i="13"/>
  <c r="K16" i="13"/>
  <c r="N18" i="13"/>
  <c r="M16" i="13"/>
  <c r="O16" i="13"/>
  <c r="Q18" i="13"/>
  <c r="L18" i="13"/>
  <c r="P16" i="13"/>
  <c r="U16" i="13"/>
  <c r="N15" i="13"/>
  <c r="V16" i="13"/>
  <c r="H16" i="13"/>
  <c r="J16" i="13"/>
  <c r="M18" i="13"/>
  <c r="W18" i="13"/>
  <c r="M15" i="13"/>
  <c r="P15" i="13"/>
  <c r="D17" i="13"/>
  <c r="E17" i="13" s="1"/>
  <c r="U14" i="13"/>
  <c r="G14" i="13"/>
  <c r="T14" i="13"/>
  <c r="F14" i="13"/>
  <c r="R14" i="13"/>
  <c r="W14" i="13"/>
  <c r="I14" i="13"/>
  <c r="E14" i="13"/>
  <c r="Q14" i="13"/>
  <c r="P14" i="13"/>
  <c r="N14" i="13"/>
  <c r="K14" i="13"/>
  <c r="J14" i="13"/>
  <c r="D8" i="13"/>
  <c r="O14" i="13"/>
  <c r="M14" i="13"/>
  <c r="L14" i="13"/>
  <c r="V14" i="13"/>
  <c r="H14" i="13"/>
  <c r="S14" i="13"/>
  <c r="T15" i="13"/>
  <c r="R18" i="13"/>
  <c r="I15" i="13"/>
  <c r="W15" i="13"/>
  <c r="Q16" i="13"/>
  <c r="E18" i="13"/>
  <c r="S18" i="13"/>
  <c r="H17" i="13"/>
  <c r="R15" i="13"/>
  <c r="E15" i="13"/>
  <c r="S15" i="13"/>
  <c r="F15" i="13"/>
  <c r="H15" i="13"/>
  <c r="V15" i="13"/>
  <c r="J15" i="13"/>
  <c r="R16" i="13"/>
  <c r="F18" i="13"/>
  <c r="K15" i="13"/>
  <c r="E16" i="13"/>
  <c r="S16" i="13"/>
  <c r="G18" i="13"/>
  <c r="U18" i="13"/>
  <c r="V17" i="13"/>
  <c r="U15" i="13"/>
  <c r="T18" i="13"/>
  <c r="L15" i="13"/>
  <c r="F16" i="13"/>
  <c r="T16" i="13"/>
  <c r="H18" i="13"/>
  <c r="V18" i="13"/>
  <c r="I16" i="13"/>
  <c r="F23" i="12"/>
  <c r="G2" i="14" a="1"/>
  <c r="G2" i="16" a="1"/>
  <c r="G2" i="12" a="1"/>
  <c r="K17" i="13" l="1"/>
  <c r="K8" i="13" s="1"/>
  <c r="W17" i="13"/>
  <c r="W8" i="13" s="1"/>
  <c r="L17" i="13"/>
  <c r="L8" i="13" s="1"/>
  <c r="I17" i="13"/>
  <c r="I8" i="13" s="1"/>
  <c r="J17" i="13"/>
  <c r="J8" i="13" s="1"/>
  <c r="P17" i="13"/>
  <c r="P8" i="13" s="1"/>
  <c r="M17" i="13"/>
  <c r="M8" i="13" s="1"/>
  <c r="M10" i="13" s="1"/>
  <c r="U17" i="13"/>
  <c r="U8" i="13" s="1"/>
  <c r="R17" i="13"/>
  <c r="R8" i="13" s="1"/>
  <c r="T17" i="13"/>
  <c r="T8" i="13" s="1"/>
  <c r="F17" i="13"/>
  <c r="F8" i="13" s="1"/>
  <c r="S17" i="13"/>
  <c r="S8" i="13" s="1"/>
  <c r="G17" i="13"/>
  <c r="G8" i="13" s="1"/>
  <c r="N17" i="13"/>
  <c r="N8" i="13" s="1"/>
  <c r="R18" i="15"/>
  <c r="K18" i="15"/>
  <c r="M18" i="15"/>
  <c r="N18" i="15"/>
  <c r="P18" i="15"/>
  <c r="E18" i="15"/>
  <c r="S18" i="15"/>
  <c r="F18" i="15"/>
  <c r="T18" i="15"/>
  <c r="U18" i="15"/>
  <c r="V18" i="15"/>
  <c r="I18" i="15"/>
  <c r="W18" i="15"/>
  <c r="J18" i="15"/>
  <c r="L18" i="15"/>
  <c r="O18" i="15"/>
  <c r="Q18" i="15"/>
  <c r="G18" i="15"/>
  <c r="H18" i="15"/>
  <c r="U19" i="15"/>
  <c r="L19" i="15"/>
  <c r="S19" i="15"/>
  <c r="T19" i="15"/>
  <c r="N19" i="15"/>
  <c r="E19" i="15"/>
  <c r="J19" i="15"/>
  <c r="K19" i="15"/>
  <c r="G19" i="15"/>
  <c r="M19" i="15"/>
  <c r="O19" i="15"/>
  <c r="Q19" i="15"/>
  <c r="P19" i="15"/>
  <c r="V19" i="15"/>
  <c r="R19" i="15"/>
  <c r="W19" i="15"/>
  <c r="H19" i="15"/>
  <c r="F19" i="15"/>
  <c r="G2" i="16"/>
  <c r="Q14" i="15"/>
  <c r="P14" i="15"/>
  <c r="O14" i="15"/>
  <c r="N14" i="15"/>
  <c r="M14" i="15"/>
  <c r="W14" i="15"/>
  <c r="T14" i="15"/>
  <c r="S14" i="15"/>
  <c r="V14" i="15"/>
  <c r="U14" i="15"/>
  <c r="L14" i="15"/>
  <c r="K14" i="15"/>
  <c r="H14" i="15"/>
  <c r="G14" i="15"/>
  <c r="D8" i="15"/>
  <c r="E14" i="15"/>
  <c r="F14" i="15"/>
  <c r="R14" i="15"/>
  <c r="J14" i="15"/>
  <c r="I14" i="15"/>
  <c r="K15" i="15"/>
  <c r="J15" i="15"/>
  <c r="W15" i="15"/>
  <c r="I15" i="15"/>
  <c r="V15" i="15"/>
  <c r="H15" i="15"/>
  <c r="U15" i="15"/>
  <c r="G15" i="15"/>
  <c r="P15" i="15"/>
  <c r="E15" i="15"/>
  <c r="F15" i="15"/>
  <c r="S15" i="15"/>
  <c r="R15" i="15"/>
  <c r="Q15" i="15"/>
  <c r="N15" i="15"/>
  <c r="L15" i="15"/>
  <c r="T15" i="15"/>
  <c r="O15" i="15"/>
  <c r="M15" i="15"/>
  <c r="O17" i="15"/>
  <c r="M17" i="15"/>
  <c r="L17" i="15"/>
  <c r="K17" i="15"/>
  <c r="J17" i="15"/>
  <c r="W17" i="15"/>
  <c r="I17" i="15"/>
  <c r="V17" i="15"/>
  <c r="Q17" i="15"/>
  <c r="P17" i="15"/>
  <c r="T17" i="15"/>
  <c r="R17" i="15"/>
  <c r="H17" i="15"/>
  <c r="U17" i="15"/>
  <c r="G17" i="15"/>
  <c r="F17" i="15"/>
  <c r="E17" i="15"/>
  <c r="N17" i="15"/>
  <c r="S17" i="15"/>
  <c r="E8" i="13"/>
  <c r="Q17" i="13"/>
  <c r="O17" i="13"/>
  <c r="O8" i="13" s="1"/>
  <c r="H8" i="13"/>
  <c r="V8" i="13"/>
  <c r="G2" i="14"/>
  <c r="G2" i="12"/>
  <c r="D24" i="14" a="1"/>
  <c r="E17" i="14" a="1"/>
  <c r="D10" i="14" a="1"/>
  <c r="F31" i="14" a="1"/>
  <c r="E24" i="14" a="1"/>
  <c r="C10" i="14" a="1"/>
  <c r="F24" i="14" a="1"/>
  <c r="D31" i="14" a="1"/>
  <c r="C24" i="14" a="1"/>
  <c r="E38" i="14" a="1"/>
  <c r="C17" i="14" a="1"/>
  <c r="E10" i="14" a="1"/>
  <c r="F38" i="14" a="1"/>
  <c r="C31" i="14" a="1"/>
  <c r="E31" i="14" a="1"/>
  <c r="D38" i="14" a="1"/>
  <c r="G38" i="14" a="1"/>
  <c r="O8" i="15" l="1"/>
  <c r="O10" i="15" s="1"/>
  <c r="V8" i="15"/>
  <c r="S8" i="15"/>
  <c r="T8" i="15"/>
  <c r="I8" i="15"/>
  <c r="M8" i="15"/>
  <c r="F8" i="15"/>
  <c r="E8" i="15"/>
  <c r="E10" i="15" s="1"/>
  <c r="P8" i="15"/>
  <c r="W8" i="15"/>
  <c r="J8" i="15"/>
  <c r="R8" i="15"/>
  <c r="G8" i="15"/>
  <c r="H8" i="15"/>
  <c r="K8" i="15"/>
  <c r="L8" i="15"/>
  <c r="N8" i="15"/>
  <c r="Q8" i="15"/>
  <c r="U8" i="15"/>
  <c r="Q8" i="13"/>
  <c r="F10" i="13"/>
  <c r="E10" i="14"/>
  <c r="D38" i="14"/>
  <c r="C10" i="14"/>
  <c r="C12" i="14" s="1"/>
  <c r="E24" i="14"/>
  <c r="E26" i="14" s="1"/>
  <c r="F38" i="14"/>
  <c r="F40" i="14" s="1"/>
  <c r="D31" i="14"/>
  <c r="F31" i="14"/>
  <c r="E31" i="14"/>
  <c r="F24" i="14"/>
  <c r="C31" i="14"/>
  <c r="G38" i="14"/>
  <c r="G40" i="14" s="1"/>
  <c r="E17" i="14"/>
  <c r="E19" i="14" s="1"/>
  <c r="C24" i="14"/>
  <c r="D24" i="14"/>
  <c r="D10" i="14"/>
  <c r="D12" i="14" s="1"/>
  <c r="C17" i="14"/>
  <c r="C19" i="14" s="1"/>
  <c r="E38" i="14"/>
  <c r="K10" i="13"/>
  <c r="V10" i="13"/>
  <c r="O10" i="13"/>
  <c r="H10" i="13"/>
  <c r="J10" i="13"/>
  <c r="I10" i="13"/>
  <c r="W10" i="13"/>
  <c r="G10" i="13"/>
  <c r="R10" i="13"/>
  <c r="S10" i="13"/>
  <c r="T10" i="13"/>
  <c r="U10" i="13"/>
  <c r="L10" i="13"/>
  <c r="P10" i="13"/>
  <c r="N10" i="13"/>
  <c r="E24" i="16" a="1"/>
  <c r="D24" i="16" a="1"/>
  <c r="E31" i="16" a="1"/>
  <c r="F38" i="16" a="1"/>
  <c r="D17" i="14" a="1"/>
  <c r="G38" i="16" a="1"/>
  <c r="F24" i="16" a="1"/>
  <c r="D17" i="16" a="1"/>
  <c r="C10" i="16" a="1"/>
  <c r="C31" i="16" a="1"/>
  <c r="F31" i="16" a="1"/>
  <c r="E38" i="16" a="1"/>
  <c r="D31" i="16" a="1"/>
  <c r="C24" i="16" a="1"/>
  <c r="E17" i="16" a="1"/>
  <c r="C17" i="16" a="1"/>
  <c r="D10" i="16" a="1"/>
  <c r="E10" i="16" a="1"/>
  <c r="D38" i="16" a="1"/>
  <c r="C10" i="16" l="1"/>
  <c r="C12" i="16" s="1"/>
  <c r="F38" i="16"/>
  <c r="F40" i="16" s="1"/>
  <c r="D38" i="16"/>
  <c r="D24" i="16"/>
  <c r="E38" i="16"/>
  <c r="C24" i="16"/>
  <c r="F24" i="16"/>
  <c r="E31" i="16"/>
  <c r="E17" i="16"/>
  <c r="E19" i="16" s="1"/>
  <c r="C17" i="16"/>
  <c r="C19" i="16" s="1"/>
  <c r="D17" i="16"/>
  <c r="D19" i="16" s="1"/>
  <c r="D10" i="16"/>
  <c r="D12" i="16" s="1"/>
  <c r="D31" i="16"/>
  <c r="G38" i="16"/>
  <c r="G40" i="16" s="1"/>
  <c r="E10" i="16"/>
  <c r="C31" i="16"/>
  <c r="E24" i="16"/>
  <c r="E26" i="16" s="1"/>
  <c r="F31" i="16"/>
  <c r="F10" i="15"/>
  <c r="U10" i="15"/>
  <c r="N10" i="15"/>
  <c r="T10" i="15"/>
  <c r="W10" i="15"/>
  <c r="I10" i="15"/>
  <c r="S10" i="15"/>
  <c r="P10" i="15"/>
  <c r="Q10" i="15"/>
  <c r="L10" i="15"/>
  <c r="K10" i="15"/>
  <c r="H10" i="15"/>
  <c r="R10" i="15"/>
  <c r="M10" i="15"/>
  <c r="G10" i="15"/>
  <c r="V10" i="15"/>
  <c r="J10" i="15"/>
  <c r="D17" i="14"/>
  <c r="D19" i="14" s="1"/>
  <c r="Q10" i="13"/>
  <c r="C7" i="14"/>
  <c r="C38" i="14" s="1"/>
  <c r="C6" i="14"/>
  <c r="C5" i="14"/>
  <c r="A3" i="11"/>
  <c r="D2" i="11"/>
  <c r="D10" i="10"/>
  <c r="C8" i="10"/>
  <c r="D20" i="10"/>
  <c r="D6" i="10"/>
  <c r="G14" i="5"/>
  <c r="B4" i="9"/>
  <c r="A36" i="9" a="1"/>
  <c r="A35" i="9" a="1"/>
  <c r="D33" i="9" a="1"/>
  <c r="D32" i="9" a="1"/>
  <c r="D28" i="9" a="1"/>
  <c r="A37" i="9" a="1"/>
  <c r="D36" i="9" a="1"/>
  <c r="A34" i="9" a="1"/>
  <c r="D30" i="9" a="1"/>
  <c r="D25" i="9" a="1"/>
  <c r="G3" i="11" a="1"/>
  <c r="C37" i="11" a="1"/>
  <c r="D39" i="9" a="1"/>
  <c r="C9" i="11" a="1"/>
  <c r="A39" i="9" a="1"/>
  <c r="D38" i="9" a="1"/>
  <c r="D26" i="9" a="1"/>
  <c r="D37" i="9" a="1"/>
  <c r="D27" i="9" a="1"/>
  <c r="D47" i="9" a="1"/>
  <c r="D41" i="9" a="1"/>
  <c r="D24" i="9" a="1"/>
  <c r="D29" i="9" a="1"/>
  <c r="D31" i="9" a="1"/>
  <c r="D42" i="9" a="1"/>
  <c r="D35" i="9" a="1"/>
  <c r="D40" i="9" a="1"/>
  <c r="D34" i="9" a="1"/>
  <c r="G3" i="11" l="1"/>
  <c r="C37" i="11"/>
  <c r="C6" i="16"/>
  <c r="C5" i="16"/>
  <c r="C7" i="16"/>
  <c r="C38" i="16" s="1"/>
  <c r="C9" i="11"/>
  <c r="W20" i="10"/>
  <c r="I20" i="10"/>
  <c r="E20" i="10"/>
  <c r="Q20" i="10"/>
  <c r="P20" i="10"/>
  <c r="L20" i="10"/>
  <c r="V20" i="10"/>
  <c r="H20" i="10"/>
  <c r="U20" i="10"/>
  <c r="G20" i="10"/>
  <c r="T20" i="10"/>
  <c r="F20" i="10"/>
  <c r="S20" i="10"/>
  <c r="R20" i="10"/>
  <c r="N20" i="10"/>
  <c r="M20" i="10"/>
  <c r="K20" i="10"/>
  <c r="J20" i="10"/>
  <c r="O20" i="10"/>
  <c r="D17" i="10"/>
  <c r="D18" i="10"/>
  <c r="D14" i="10"/>
  <c r="D15" i="10"/>
  <c r="D16" i="10"/>
  <c r="D19" i="10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47" i="9"/>
  <c r="A39" i="9"/>
  <c r="A34" i="9"/>
  <c r="A37" i="9"/>
  <c r="A36" i="9"/>
  <c r="A35" i="9"/>
  <c r="B3" i="9"/>
  <c r="G4" i="9"/>
  <c r="G3" i="9"/>
  <c r="D2" i="6"/>
  <c r="D10" i="7"/>
  <c r="C8" i="7"/>
  <c r="D16" i="7"/>
  <c r="D6" i="7"/>
  <c r="I47" i="9" a="1"/>
  <c r="F13" i="9" a="1"/>
  <c r="F8" i="9" a="1"/>
  <c r="F16" i="9" a="1"/>
  <c r="A17" i="9" a="1"/>
  <c r="G17" i="9" a="1"/>
  <c r="F20" i="9" a="1"/>
  <c r="G12" i="9" a="1"/>
  <c r="I36" i="9" a="1"/>
  <c r="I28" i="9" a="1"/>
  <c r="G18" i="9" a="1"/>
  <c r="G19" i="9" a="1"/>
  <c r="A16" i="9" a="1"/>
  <c r="I38" i="9" a="1"/>
  <c r="F10" i="9" a="1"/>
  <c r="I37" i="9" a="1"/>
  <c r="A13" i="9" a="1"/>
  <c r="G14" i="9" a="1"/>
  <c r="A9" i="9" a="1"/>
  <c r="G11" i="9" a="1"/>
  <c r="I35" i="9" a="1"/>
  <c r="B10" i="9" a="1"/>
  <c r="I33" i="9" a="1"/>
  <c r="A12" i="9" a="1"/>
  <c r="F14" i="9" a="1"/>
  <c r="I27" i="9" a="1"/>
  <c r="G22" i="9" a="1"/>
  <c r="G37" i="11" a="1"/>
  <c r="A10" i="9" a="1"/>
  <c r="I32" i="9" a="1"/>
  <c r="F39" i="9" a="1"/>
  <c r="I40" i="9" a="1"/>
  <c r="B9" i="9" a="1"/>
  <c r="G10" i="9" a="1"/>
  <c r="F9" i="9" a="1"/>
  <c r="A20" i="9" a="1"/>
  <c r="F34" i="9" a="1"/>
  <c r="D9" i="11" a="1"/>
  <c r="F18" i="9" a="1"/>
  <c r="G16" i="9" a="1"/>
  <c r="I25" i="9" a="1"/>
  <c r="F19" i="9" a="1"/>
  <c r="I31" i="9" a="1"/>
  <c r="I39" i="9" a="1"/>
  <c r="B13" i="9" a="1"/>
  <c r="F35" i="9" a="1"/>
  <c r="B14" i="9" a="1"/>
  <c r="G8" i="9" a="1"/>
  <c r="B22" i="9" a="1"/>
  <c r="F37" i="11" a="1"/>
  <c r="A11" i="9" a="1"/>
  <c r="E37" i="11" a="1"/>
  <c r="G15" i="9" a="1"/>
  <c r="A18" i="9" a="1"/>
  <c r="G20" i="9" a="1"/>
  <c r="B12" i="9" a="1"/>
  <c r="I29" i="9" a="1"/>
  <c r="B8" i="9" a="1"/>
  <c r="B18" i="9" a="1"/>
  <c r="I34" i="9" a="1"/>
  <c r="B16" i="9" a="1"/>
  <c r="F17" i="9" a="1"/>
  <c r="G13" i="9" a="1"/>
  <c r="I30" i="9" a="1"/>
  <c r="B20" i="9" a="1"/>
  <c r="F11" i="9" a="1"/>
  <c r="I24" i="9" a="1"/>
  <c r="A14" i="9" a="1"/>
  <c r="F15" i="9" a="1"/>
  <c r="I26" i="9" a="1"/>
  <c r="I42" i="9" a="1"/>
  <c r="B11" i="9" a="1"/>
  <c r="B15" i="9" a="1"/>
  <c r="B17" i="9" a="1"/>
  <c r="F36" i="9" a="1"/>
  <c r="A15" i="9" a="1"/>
  <c r="F37" i="9" a="1"/>
  <c r="F12" i="9" a="1"/>
  <c r="B19" i="9" a="1"/>
  <c r="A8" i="9" a="1"/>
  <c r="I41" i="9" a="1"/>
  <c r="G2" i="11" a="1"/>
  <c r="A19" i="9" a="1"/>
  <c r="G9" i="9" a="1"/>
  <c r="E9" i="11" a="1"/>
  <c r="I27" i="9" l="1"/>
  <c r="C37" i="22"/>
  <c r="C37" i="24"/>
  <c r="C9" i="22"/>
  <c r="C9" i="24"/>
  <c r="C37" i="18"/>
  <c r="C37" i="21"/>
  <c r="C9" i="18"/>
  <c r="C9" i="21"/>
  <c r="C37" i="14"/>
  <c r="C37" i="16"/>
  <c r="C9" i="14"/>
  <c r="C9" i="16"/>
  <c r="C37" i="12"/>
  <c r="C37" i="6"/>
  <c r="C9" i="12"/>
  <c r="C9" i="6"/>
  <c r="B15" i="9"/>
  <c r="A15" i="9"/>
  <c r="C15" i="9" s="1"/>
  <c r="I47" i="9"/>
  <c r="I35" i="9"/>
  <c r="I28" i="9"/>
  <c r="I41" i="9"/>
  <c r="I40" i="9"/>
  <c r="I32" i="9"/>
  <c r="I38" i="9"/>
  <c r="I30" i="9"/>
  <c r="I29" i="9"/>
  <c r="I42" i="9"/>
  <c r="I34" i="9"/>
  <c r="I33" i="9"/>
  <c r="I39" i="9"/>
  <c r="I25" i="9"/>
  <c r="I31" i="9"/>
  <c r="I24" i="9"/>
  <c r="I37" i="9"/>
  <c r="I36" i="9"/>
  <c r="I26" i="9"/>
  <c r="E37" i="11"/>
  <c r="F37" i="11"/>
  <c r="D9" i="11"/>
  <c r="G2" i="11"/>
  <c r="G37" i="11"/>
  <c r="E9" i="11"/>
  <c r="O19" i="10"/>
  <c r="F19" i="10"/>
  <c r="S19" i="10"/>
  <c r="N19" i="10"/>
  <c r="W19" i="10"/>
  <c r="V19" i="10"/>
  <c r="U19" i="10"/>
  <c r="T19" i="10"/>
  <c r="R19" i="10"/>
  <c r="P19" i="10"/>
  <c r="M19" i="10"/>
  <c r="L19" i="10"/>
  <c r="K19" i="10"/>
  <c r="J19" i="10"/>
  <c r="I19" i="10"/>
  <c r="H19" i="10"/>
  <c r="G19" i="10"/>
  <c r="E19" i="10"/>
  <c r="Q19" i="10"/>
  <c r="S16" i="10"/>
  <c r="E16" i="10"/>
  <c r="N16" i="10"/>
  <c r="M16" i="10"/>
  <c r="K16" i="10"/>
  <c r="W16" i="10"/>
  <c r="H16" i="10"/>
  <c r="U16" i="10"/>
  <c r="R16" i="10"/>
  <c r="J16" i="10"/>
  <c r="V16" i="10"/>
  <c r="F16" i="10"/>
  <c r="Q16" i="10"/>
  <c r="P16" i="10"/>
  <c r="O16" i="10"/>
  <c r="L16" i="10"/>
  <c r="I16" i="10"/>
  <c r="T16" i="10"/>
  <c r="G16" i="10"/>
  <c r="Q14" i="10"/>
  <c r="P14" i="10"/>
  <c r="M14" i="10"/>
  <c r="W14" i="10"/>
  <c r="H14" i="10"/>
  <c r="G14" i="10"/>
  <c r="T14" i="10"/>
  <c r="D8" i="10"/>
  <c r="E14" i="10"/>
  <c r="K14" i="10"/>
  <c r="I14" i="10"/>
  <c r="F14" i="10"/>
  <c r="O14" i="10"/>
  <c r="N14" i="10"/>
  <c r="L14" i="10"/>
  <c r="J14" i="10"/>
  <c r="V14" i="10"/>
  <c r="U14" i="10"/>
  <c r="S14" i="10"/>
  <c r="R14" i="10"/>
  <c r="U18" i="10"/>
  <c r="G18" i="10"/>
  <c r="O18" i="10"/>
  <c r="M18" i="10"/>
  <c r="K18" i="10"/>
  <c r="W18" i="10"/>
  <c r="T18" i="10"/>
  <c r="F18" i="10"/>
  <c r="Q18" i="10"/>
  <c r="P18" i="10"/>
  <c r="I18" i="10"/>
  <c r="H18" i="10"/>
  <c r="S18" i="10"/>
  <c r="E18" i="10"/>
  <c r="R18" i="10"/>
  <c r="N18" i="10"/>
  <c r="L18" i="10"/>
  <c r="V18" i="10"/>
  <c r="J18" i="10"/>
  <c r="M17" i="10"/>
  <c r="I17" i="10"/>
  <c r="V17" i="10"/>
  <c r="T17" i="10"/>
  <c r="R17" i="10"/>
  <c r="P17" i="10"/>
  <c r="L17" i="10"/>
  <c r="G17" i="10"/>
  <c r="F17" i="10"/>
  <c r="E17" i="10"/>
  <c r="K17" i="10"/>
  <c r="J17" i="10"/>
  <c r="W17" i="10"/>
  <c r="H17" i="10"/>
  <c r="U17" i="10"/>
  <c r="S17" i="10"/>
  <c r="Q17" i="10"/>
  <c r="O17" i="10"/>
  <c r="N17" i="10"/>
  <c r="K15" i="10"/>
  <c r="J15" i="10"/>
  <c r="H15" i="10"/>
  <c r="U15" i="10"/>
  <c r="T15" i="10"/>
  <c r="E15" i="10"/>
  <c r="R15" i="10"/>
  <c r="P15" i="10"/>
  <c r="O15" i="10"/>
  <c r="L15" i="10"/>
  <c r="F15" i="10"/>
  <c r="M15" i="10"/>
  <c r="W15" i="10"/>
  <c r="I15" i="10"/>
  <c r="V15" i="10"/>
  <c r="G15" i="10"/>
  <c r="S15" i="10"/>
  <c r="Q15" i="10"/>
  <c r="N15" i="10"/>
  <c r="B22" i="9"/>
  <c r="A14" i="9"/>
  <c r="C14" i="9" s="1"/>
  <c r="B20" i="9"/>
  <c r="B19" i="9"/>
  <c r="B18" i="9"/>
  <c r="B17" i="9"/>
  <c r="B16" i="9"/>
  <c r="B14" i="9"/>
  <c r="B13" i="9"/>
  <c r="B12" i="9"/>
  <c r="B11" i="9"/>
  <c r="B10" i="9"/>
  <c r="B9" i="9"/>
  <c r="B8" i="9"/>
  <c r="A20" i="9"/>
  <c r="C20" i="9" s="1"/>
  <c r="A19" i="9"/>
  <c r="C19" i="9" s="1"/>
  <c r="A18" i="9"/>
  <c r="C18" i="9" s="1"/>
  <c r="A17" i="9"/>
  <c r="C17" i="9" s="1"/>
  <c r="A16" i="9"/>
  <c r="C16" i="9" s="1"/>
  <c r="A13" i="9"/>
  <c r="C13" i="9" s="1"/>
  <c r="A12" i="9"/>
  <c r="C12" i="9" s="1"/>
  <c r="A11" i="9"/>
  <c r="C11" i="9" s="1"/>
  <c r="G22" i="9"/>
  <c r="F35" i="9"/>
  <c r="F37" i="9"/>
  <c r="F36" i="9"/>
  <c r="F39" i="9"/>
  <c r="F34" i="9"/>
  <c r="G20" i="9"/>
  <c r="F17" i="9"/>
  <c r="H17" i="9" s="1"/>
  <c r="G13" i="9"/>
  <c r="F10" i="9"/>
  <c r="H10" i="9" s="1"/>
  <c r="G16" i="9"/>
  <c r="F13" i="9"/>
  <c r="H13" i="9" s="1"/>
  <c r="F9" i="9"/>
  <c r="H9" i="9" s="1"/>
  <c r="F12" i="9"/>
  <c r="H12" i="9" s="1"/>
  <c r="G8" i="9"/>
  <c r="G18" i="9"/>
  <c r="F8" i="9"/>
  <c r="H8" i="9" s="1"/>
  <c r="F18" i="9"/>
  <c r="H18" i="9" s="1"/>
  <c r="G17" i="9"/>
  <c r="F20" i="9"/>
  <c r="H20" i="9" s="1"/>
  <c r="G9" i="9"/>
  <c r="F19" i="9"/>
  <c r="H19" i="9" s="1"/>
  <c r="F15" i="9"/>
  <c r="H15" i="9" s="1"/>
  <c r="F11" i="9"/>
  <c r="H11" i="9" s="1"/>
  <c r="G10" i="9"/>
  <c r="G19" i="9"/>
  <c r="F16" i="9"/>
  <c r="H16" i="9" s="1"/>
  <c r="G12" i="9"/>
  <c r="G15" i="9"/>
  <c r="G11" i="9"/>
  <c r="G14" i="9"/>
  <c r="F14" i="9"/>
  <c r="H14" i="9" s="1"/>
  <c r="A10" i="9"/>
  <c r="C10" i="9" s="1"/>
  <c r="A9" i="9"/>
  <c r="C9" i="9" s="1"/>
  <c r="A8" i="9"/>
  <c r="C8" i="9" s="1"/>
  <c r="D19" i="7"/>
  <c r="S16" i="7"/>
  <c r="E16" i="7"/>
  <c r="R16" i="7"/>
  <c r="Q16" i="7"/>
  <c r="P16" i="7"/>
  <c r="J16" i="7"/>
  <c r="V16" i="7"/>
  <c r="U16" i="7"/>
  <c r="O16" i="7"/>
  <c r="K16" i="7"/>
  <c r="W16" i="7"/>
  <c r="H16" i="7"/>
  <c r="T16" i="7"/>
  <c r="N16" i="7"/>
  <c r="M16" i="7"/>
  <c r="L16" i="7"/>
  <c r="I16" i="7"/>
  <c r="G16" i="7"/>
  <c r="F16" i="7"/>
  <c r="D17" i="7"/>
  <c r="D14" i="7"/>
  <c r="D15" i="7"/>
  <c r="D18" i="7"/>
  <c r="F38" i="9" a="1"/>
  <c r="G37" i="22" l="1"/>
  <c r="G37" i="24"/>
  <c r="F37" i="22"/>
  <c r="F37" i="24"/>
  <c r="E37" i="22"/>
  <c r="E37" i="24"/>
  <c r="D9" i="22"/>
  <c r="D9" i="24"/>
  <c r="E9" i="22"/>
  <c r="E9" i="24"/>
  <c r="G37" i="18"/>
  <c r="G37" i="21"/>
  <c r="F37" i="18"/>
  <c r="F37" i="21"/>
  <c r="E37" i="18"/>
  <c r="E37" i="21"/>
  <c r="E9" i="18"/>
  <c r="E9" i="21"/>
  <c r="D9" i="18"/>
  <c r="D9" i="21"/>
  <c r="E37" i="14"/>
  <c r="E37" i="16"/>
  <c r="F37" i="14"/>
  <c r="F37" i="16"/>
  <c r="G37" i="14"/>
  <c r="G37" i="16"/>
  <c r="D9" i="14"/>
  <c r="D9" i="16"/>
  <c r="E9" i="14"/>
  <c r="E9" i="16"/>
  <c r="G37" i="12"/>
  <c r="G37" i="6"/>
  <c r="F37" i="12"/>
  <c r="F37" i="6"/>
  <c r="E37" i="12"/>
  <c r="E37" i="6"/>
  <c r="E9" i="12"/>
  <c r="E9" i="6"/>
  <c r="D9" i="12"/>
  <c r="D9" i="6"/>
  <c r="F38" i="9"/>
  <c r="W8" i="10"/>
  <c r="M8" i="10"/>
  <c r="U8" i="10"/>
  <c r="J8" i="10"/>
  <c r="Q8" i="10"/>
  <c r="O8" i="10"/>
  <c r="P8" i="10"/>
  <c r="L8" i="10"/>
  <c r="N8" i="10"/>
  <c r="F8" i="10"/>
  <c r="I8" i="10"/>
  <c r="V8" i="10"/>
  <c r="K8" i="10"/>
  <c r="T8" i="10"/>
  <c r="R8" i="10"/>
  <c r="G8" i="10"/>
  <c r="S8" i="10"/>
  <c r="H8" i="10"/>
  <c r="B21" i="9"/>
  <c r="G21" i="9"/>
  <c r="Q14" i="7"/>
  <c r="P14" i="7"/>
  <c r="O14" i="7"/>
  <c r="N14" i="7"/>
  <c r="H14" i="7"/>
  <c r="E14" i="7"/>
  <c r="M14" i="7"/>
  <c r="J14" i="7"/>
  <c r="G14" i="7"/>
  <c r="F14" i="7"/>
  <c r="L14" i="7"/>
  <c r="K14" i="7"/>
  <c r="W14" i="7"/>
  <c r="I14" i="7"/>
  <c r="V14" i="7"/>
  <c r="U14" i="7"/>
  <c r="T14" i="7"/>
  <c r="D8" i="7"/>
  <c r="S14" i="7"/>
  <c r="R14" i="7"/>
  <c r="U18" i="7"/>
  <c r="G18" i="7"/>
  <c r="T18" i="7"/>
  <c r="F18" i="7"/>
  <c r="S18" i="7"/>
  <c r="E18" i="7"/>
  <c r="R18" i="7"/>
  <c r="N18" i="7"/>
  <c r="J18" i="7"/>
  <c r="W18" i="7"/>
  <c r="Q18" i="7"/>
  <c r="P18" i="7"/>
  <c r="O18" i="7"/>
  <c r="M18" i="7"/>
  <c r="L18" i="7"/>
  <c r="K18" i="7"/>
  <c r="I18" i="7"/>
  <c r="V18" i="7"/>
  <c r="H18" i="7"/>
  <c r="K15" i="7"/>
  <c r="J15" i="7"/>
  <c r="W15" i="7"/>
  <c r="I15" i="7"/>
  <c r="V15" i="7"/>
  <c r="H15" i="7"/>
  <c r="Q15" i="7"/>
  <c r="O15" i="7"/>
  <c r="N15" i="7"/>
  <c r="U15" i="7"/>
  <c r="G15" i="7"/>
  <c r="M15" i="7"/>
  <c r="T15" i="7"/>
  <c r="F15" i="7"/>
  <c r="S15" i="7"/>
  <c r="E15" i="7"/>
  <c r="R15" i="7"/>
  <c r="P15" i="7"/>
  <c r="L15" i="7"/>
  <c r="M17" i="7"/>
  <c r="L17" i="7"/>
  <c r="K17" i="7"/>
  <c r="J17" i="7"/>
  <c r="W17" i="7"/>
  <c r="I17" i="7"/>
  <c r="U17" i="7"/>
  <c r="F17" i="7"/>
  <c r="P17" i="7"/>
  <c r="O17" i="7"/>
  <c r="V17" i="7"/>
  <c r="H17" i="7"/>
  <c r="G17" i="7"/>
  <c r="T17" i="7"/>
  <c r="S17" i="7"/>
  <c r="E17" i="7"/>
  <c r="R17" i="7"/>
  <c r="Q17" i="7"/>
  <c r="N17" i="7"/>
  <c r="O19" i="7"/>
  <c r="N19" i="7"/>
  <c r="M19" i="7"/>
  <c r="L19" i="7"/>
  <c r="G19" i="7"/>
  <c r="F19" i="7"/>
  <c r="E19" i="7"/>
  <c r="R19" i="7"/>
  <c r="K19" i="7"/>
  <c r="V19" i="7"/>
  <c r="U19" i="7"/>
  <c r="T19" i="7"/>
  <c r="S19" i="7"/>
  <c r="Q19" i="7"/>
  <c r="P19" i="7"/>
  <c r="J19" i="7"/>
  <c r="W19" i="7"/>
  <c r="I19" i="7"/>
  <c r="H19" i="7"/>
  <c r="E24" i="11" a="1"/>
  <c r="C17" i="11" a="1"/>
  <c r="G38" i="11" a="1"/>
  <c r="D24" i="11" a="1"/>
  <c r="C10" i="11" a="1"/>
  <c r="D38" i="11" a="1"/>
  <c r="E38" i="11" a="1"/>
  <c r="F31" i="11" a="1"/>
  <c r="D31" i="11" a="1"/>
  <c r="E17" i="11" a="1"/>
  <c r="E31" i="11" a="1"/>
  <c r="E10" i="11" a="1"/>
  <c r="D17" i="11" a="1"/>
  <c r="F38" i="11" a="1"/>
  <c r="F24" i="11" a="1"/>
  <c r="D10" i="11" a="1"/>
  <c r="C31" i="11" a="1"/>
  <c r="C24" i="11" a="1"/>
  <c r="C17" i="11" l="1"/>
  <c r="C19" i="11" s="1"/>
  <c r="F38" i="11"/>
  <c r="F40" i="11" s="1"/>
  <c r="D17" i="11"/>
  <c r="D19" i="11" s="1"/>
  <c r="F31" i="11"/>
  <c r="E17" i="11"/>
  <c r="E19" i="11" s="1"/>
  <c r="C31" i="11"/>
  <c r="D38" i="11"/>
  <c r="G38" i="11"/>
  <c r="G40" i="11" s="1"/>
  <c r="D31" i="11"/>
  <c r="C10" i="11"/>
  <c r="C12" i="11" s="1"/>
  <c r="E10" i="11"/>
  <c r="E38" i="11"/>
  <c r="D24" i="11"/>
  <c r="E24" i="11"/>
  <c r="E26" i="11" s="1"/>
  <c r="F24" i="11"/>
  <c r="D10" i="11"/>
  <c r="D12" i="11" s="1"/>
  <c r="C24" i="11"/>
  <c r="E31" i="11"/>
  <c r="P10" i="10"/>
  <c r="O10" i="10"/>
  <c r="Q10" i="10"/>
  <c r="J10" i="10"/>
  <c r="S10" i="10"/>
  <c r="G10" i="10"/>
  <c r="F10" i="10"/>
  <c r="R10" i="10"/>
  <c r="H10" i="10"/>
  <c r="K10" i="10"/>
  <c r="M10" i="10"/>
  <c r="N10" i="10"/>
  <c r="U10" i="10"/>
  <c r="V10" i="10"/>
  <c r="W10" i="10"/>
  <c r="L10" i="10"/>
  <c r="T10" i="10"/>
  <c r="I10" i="10"/>
  <c r="O8" i="7"/>
  <c r="W8" i="7"/>
  <c r="L8" i="7"/>
  <c r="I8" i="7"/>
  <c r="F8" i="7"/>
  <c r="G8" i="7"/>
  <c r="K8" i="7"/>
  <c r="J8" i="7"/>
  <c r="M8" i="7"/>
  <c r="R8" i="7"/>
  <c r="S8" i="7"/>
  <c r="H8" i="7"/>
  <c r="N8" i="7"/>
  <c r="T8" i="7"/>
  <c r="U8" i="7"/>
  <c r="P8" i="7"/>
  <c r="V8" i="7"/>
  <c r="Q8" i="7"/>
  <c r="G38" i="6" a="1"/>
  <c r="C7" i="11" l="1"/>
  <c r="C38" i="11" s="1"/>
  <c r="G38" i="6"/>
  <c r="C6" i="11"/>
  <c r="C5" i="11"/>
  <c r="J10" i="7"/>
  <c r="M10" i="7"/>
  <c r="O10" i="7"/>
  <c r="U10" i="7"/>
  <c r="R10" i="7"/>
  <c r="G10" i="7"/>
  <c r="Q10" i="7"/>
  <c r="I10" i="7"/>
  <c r="N10" i="7"/>
  <c r="S10" i="7"/>
  <c r="K10" i="7"/>
  <c r="F10" i="7"/>
  <c r="V10" i="7"/>
  <c r="P10" i="7"/>
  <c r="L10" i="7"/>
  <c r="W10" i="7"/>
  <c r="T10" i="7"/>
  <c r="H10" i="7"/>
  <c r="A3" i="6" l="1"/>
  <c r="C31" i="4"/>
  <c r="B31" i="4"/>
  <c r="B24" i="4"/>
  <c r="C24" i="4" s="1"/>
  <c r="E24" i="4" s="1"/>
  <c r="C17" i="4"/>
  <c r="D17" i="4" s="1"/>
  <c r="C10" i="4"/>
  <c r="D10" i="4" s="1"/>
  <c r="A38" i="9" a="1"/>
  <c r="G2" i="6" a="1"/>
  <c r="A38" i="9" l="1"/>
  <c r="G2" i="6"/>
  <c r="E31" i="4"/>
  <c r="D31" i="4"/>
  <c r="D24" i="4"/>
  <c r="E17" i="4"/>
  <c r="E10" i="4"/>
  <c r="A25" i="9" a="1"/>
  <c r="F30" i="9" a="1"/>
  <c r="A29" i="9" a="1"/>
  <c r="F26" i="9" a="1"/>
  <c r="A33" i="9" a="1"/>
  <c r="A40" i="9" a="1"/>
  <c r="A26" i="9" a="1"/>
  <c r="A27" i="9" a="1"/>
  <c r="F24" i="9" a="1"/>
  <c r="F27" i="9" a="1"/>
  <c r="F29" i="9" a="1"/>
  <c r="F25" i="9" a="1"/>
  <c r="F31" i="9" a="1"/>
  <c r="A30" i="9" a="1"/>
  <c r="A28" i="9" a="1"/>
  <c r="F33" i="9" a="1"/>
  <c r="F28" i="9" a="1"/>
  <c r="F42" i="9" a="1"/>
  <c r="A31" i="9" a="1"/>
  <c r="A42" i="9" a="1"/>
  <c r="A41" i="9" a="1"/>
  <c r="F40" i="9" a="1"/>
  <c r="A32" i="9" a="1"/>
  <c r="F32" i="9" a="1"/>
  <c r="F41" i="9" a="1"/>
  <c r="A24" i="9" a="1"/>
  <c r="A24" i="9" l="1"/>
  <c r="F25" i="9"/>
  <c r="F33" i="9"/>
  <c r="F27" i="9"/>
  <c r="F42" i="9"/>
  <c r="F24" i="9"/>
  <c r="F28" i="9"/>
  <c r="F30" i="9"/>
  <c r="F41" i="9"/>
  <c r="F29" i="9"/>
  <c r="F32" i="9"/>
  <c r="F40" i="9"/>
  <c r="F26" i="9"/>
  <c r="F31" i="9"/>
  <c r="A42" i="9"/>
  <c r="A41" i="9"/>
  <c r="A40" i="9"/>
  <c r="A33" i="9"/>
  <c r="A32" i="9"/>
  <c r="A31" i="9"/>
  <c r="A30" i="9"/>
  <c r="A29" i="9"/>
  <c r="A28" i="9"/>
  <c r="A27" i="9"/>
  <c r="A26" i="9"/>
  <c r="A25" i="9"/>
  <c r="C6" i="4"/>
  <c r="E6" i="4" s="1"/>
  <c r="B25" i="4"/>
  <c r="C25" i="4" s="1"/>
  <c r="E25" i="4" s="1"/>
  <c r="B23" i="4"/>
  <c r="C23" i="4" s="1"/>
  <c r="E23" i="4" s="1"/>
  <c r="B22" i="4"/>
  <c r="C22" i="4" s="1"/>
  <c r="D22" i="4" s="1"/>
  <c r="B21" i="4"/>
  <c r="C21" i="4" s="1"/>
  <c r="D21" i="4" s="1"/>
  <c r="A27" i="4"/>
  <c r="C30" i="4" s="1"/>
  <c r="D30" i="4" s="1"/>
  <c r="C18" i="4"/>
  <c r="E18" i="4" s="1"/>
  <c r="C16" i="4"/>
  <c r="E16" i="4" s="1"/>
  <c r="C15" i="4"/>
  <c r="E15" i="4" s="1"/>
  <c r="C14" i="4"/>
  <c r="D14" i="4" s="1"/>
  <c r="E11" i="4"/>
  <c r="D11" i="4"/>
  <c r="C11" i="4"/>
  <c r="C9" i="4"/>
  <c r="E9" i="4" s="1"/>
  <c r="C8" i="4"/>
  <c r="E8" i="4" s="1"/>
  <c r="C7" i="4"/>
  <c r="E7" i="4" s="1"/>
  <c r="D6" i="4" l="1"/>
  <c r="D9" i="4"/>
  <c r="D8" i="4"/>
  <c r="D7" i="4"/>
  <c r="C32" i="4"/>
  <c r="E32" i="4" s="1"/>
  <c r="C28" i="4"/>
  <c r="E28" i="4" s="1"/>
  <c r="C29" i="4"/>
  <c r="D23" i="4"/>
  <c r="D25" i="4"/>
  <c r="E30" i="4"/>
  <c r="E22" i="4"/>
  <c r="E21" i="4"/>
  <c r="D18" i="4"/>
  <c r="D16" i="4"/>
  <c r="D15" i="4"/>
  <c r="D32" i="4" l="1"/>
  <c r="D28" i="4"/>
  <c r="E29" i="4"/>
  <c r="D29" i="4"/>
  <c r="D15" i="5" l="1"/>
  <c r="R15" i="5" s="1"/>
  <c r="D17" i="5"/>
  <c r="L17" i="5" s="1"/>
  <c r="D18" i="5"/>
  <c r="O18" i="5" s="1"/>
  <c r="D19" i="5"/>
  <c r="F19" i="5" s="1"/>
  <c r="D16" i="5"/>
  <c r="E16" i="5" s="1"/>
  <c r="D20" i="5"/>
  <c r="R20" i="5" s="1"/>
  <c r="W20" i="5" l="1"/>
  <c r="E15" i="5"/>
  <c r="S16" i="5"/>
  <c r="S15" i="5"/>
  <c r="D8" i="5"/>
  <c r="G17" i="5"/>
  <c r="L15" i="5"/>
  <c r="V15" i="5"/>
  <c r="E14" i="5"/>
  <c r="K14" i="5"/>
  <c r="N15" i="5"/>
  <c r="G18" i="5"/>
  <c r="M18" i="5"/>
  <c r="K18" i="5"/>
  <c r="N18" i="5"/>
  <c r="Q18" i="5"/>
  <c r="R18" i="5"/>
  <c r="K15" i="5"/>
  <c r="H15" i="5"/>
  <c r="M15" i="5"/>
  <c r="Q15" i="5"/>
  <c r="G19" i="5"/>
  <c r="S18" i="5"/>
  <c r="F16" i="5"/>
  <c r="V19" i="5"/>
  <c r="I17" i="5"/>
  <c r="G16" i="5"/>
  <c r="Q19" i="5"/>
  <c r="H17" i="5"/>
  <c r="R16" i="5"/>
  <c r="S19" i="5"/>
  <c r="I19" i="5"/>
  <c r="G20" i="5"/>
  <c r="L16" i="5"/>
  <c r="O16" i="5"/>
  <c r="I20" i="5"/>
  <c r="P16" i="5"/>
  <c r="J16" i="5"/>
  <c r="E20" i="5"/>
  <c r="T16" i="5"/>
  <c r="V20" i="5"/>
  <c r="U16" i="5"/>
  <c r="N20" i="5"/>
  <c r="H16" i="5"/>
  <c r="K20" i="5"/>
  <c r="W16" i="5"/>
  <c r="K16" i="5"/>
  <c r="Q16" i="5"/>
  <c r="V16" i="5"/>
  <c r="T17" i="5"/>
  <c r="R17" i="5"/>
  <c r="W17" i="5"/>
  <c r="N17" i="5"/>
  <c r="M19" i="5"/>
  <c r="K19" i="5"/>
  <c r="E18" i="5"/>
  <c r="F17" i="5"/>
  <c r="G15" i="5"/>
  <c r="W14" i="5"/>
  <c r="L14" i="5"/>
  <c r="O14" i="5"/>
  <c r="S14" i="5"/>
  <c r="R14" i="5"/>
  <c r="P14" i="5"/>
  <c r="Q14" i="5"/>
  <c r="V14" i="5"/>
  <c r="M14" i="5"/>
  <c r="N14" i="5"/>
  <c r="J14" i="5"/>
  <c r="I14" i="5"/>
  <c r="H14" i="5"/>
  <c r="T14" i="5"/>
  <c r="U14" i="5"/>
  <c r="O17" i="5"/>
  <c r="T19" i="5"/>
  <c r="I18" i="5"/>
  <c r="V18" i="5"/>
  <c r="P17" i="5"/>
  <c r="F15" i="5"/>
  <c r="W15" i="5"/>
  <c r="U17" i="5"/>
  <c r="U19" i="5"/>
  <c r="O20" i="5"/>
  <c r="V17" i="5"/>
  <c r="U15" i="5"/>
  <c r="K17" i="5"/>
  <c r="P19" i="5"/>
  <c r="E19" i="5"/>
  <c r="T18" i="5"/>
  <c r="T15" i="5"/>
  <c r="J19" i="5"/>
  <c r="Q20" i="5"/>
  <c r="S20" i="5"/>
  <c r="L20" i="5"/>
  <c r="O19" i="5"/>
  <c r="S17" i="5"/>
  <c r="J20" i="5"/>
  <c r="I16" i="5"/>
  <c r="W18" i="5"/>
  <c r="P15" i="5"/>
  <c r="J15" i="5"/>
  <c r="M17" i="5"/>
  <c r="J17" i="5"/>
  <c r="R19" i="5"/>
  <c r="M20" i="5"/>
  <c r="H20" i="5"/>
  <c r="U20" i="5"/>
  <c r="F18" i="5"/>
  <c r="L18" i="5"/>
  <c r="I15" i="5"/>
  <c r="H19" i="5"/>
  <c r="P18" i="5"/>
  <c r="E17" i="5"/>
  <c r="T20" i="5"/>
  <c r="N16" i="5"/>
  <c r="M16" i="5"/>
  <c r="W19" i="5"/>
  <c r="J18" i="5"/>
  <c r="U18" i="5"/>
  <c r="Q17" i="5"/>
  <c r="O15" i="5"/>
  <c r="F14" i="5"/>
  <c r="N19" i="5"/>
  <c r="L19" i="5"/>
  <c r="F20" i="5"/>
  <c r="P20" i="5"/>
  <c r="H18" i="5"/>
  <c r="J8" i="5" l="1"/>
  <c r="J10" i="5" s="1"/>
  <c r="S8" i="5"/>
  <c r="L8" i="5"/>
  <c r="U8" i="5"/>
  <c r="O8" i="5"/>
  <c r="I8" i="5"/>
  <c r="G8" i="5"/>
  <c r="M8" i="5"/>
  <c r="N8" i="5"/>
  <c r="V8" i="5"/>
  <c r="Q8" i="5"/>
  <c r="W8" i="5"/>
  <c r="F8" i="5"/>
  <c r="K8" i="5"/>
  <c r="P8" i="5"/>
  <c r="T8" i="5"/>
  <c r="H8" i="5"/>
  <c r="R8" i="5"/>
  <c r="C31" i="12" a="1"/>
  <c r="D10" i="6" a="1"/>
  <c r="D24" i="12" a="1"/>
  <c r="F31" i="12" a="1"/>
  <c r="C17" i="6" a="1"/>
  <c r="F38" i="12" a="1"/>
  <c r="D17" i="6" a="1"/>
  <c r="E10" i="6" a="1"/>
  <c r="C24" i="6" a="1"/>
  <c r="F31" i="6" a="1"/>
  <c r="C10" i="6" a="1"/>
  <c r="E17" i="12" a="1"/>
  <c r="E31" i="6" a="1"/>
  <c r="D31" i="6" a="1"/>
  <c r="E38" i="12" a="1"/>
  <c r="C31" i="6" a="1"/>
  <c r="E17" i="6" a="1"/>
  <c r="C10" i="12" a="1"/>
  <c r="E24" i="12" a="1"/>
  <c r="C17" i="12" a="1"/>
  <c r="D24" i="6" a="1"/>
  <c r="G38" i="12" a="1"/>
  <c r="D38" i="12" a="1"/>
  <c r="F24" i="6" a="1"/>
  <c r="D17" i="12" a="1"/>
  <c r="D10" i="12" a="1"/>
  <c r="E38" i="6" a="1"/>
  <c r="F38" i="6" a="1"/>
  <c r="F24" i="12" a="1"/>
  <c r="E24" i="6" a="1"/>
  <c r="D31" i="12" a="1"/>
  <c r="E10" i="12" a="1"/>
  <c r="C24" i="12" a="1"/>
  <c r="E31" i="12" a="1"/>
  <c r="D38" i="6" a="1"/>
  <c r="E24" i="12" l="1"/>
  <c r="E26" i="12" s="1"/>
  <c r="D17" i="12"/>
  <c r="D19" i="12" s="1"/>
  <c r="C31" i="12"/>
  <c r="D31" i="12"/>
  <c r="D10" i="12"/>
  <c r="D12" i="12" s="1"/>
  <c r="E38" i="12"/>
  <c r="G38" i="12"/>
  <c r="E17" i="12"/>
  <c r="E19" i="12" s="1"/>
  <c r="F38" i="12"/>
  <c r="F40" i="12" s="1"/>
  <c r="F24" i="12"/>
  <c r="E10" i="12"/>
  <c r="E31" i="12"/>
  <c r="D24" i="12"/>
  <c r="C24" i="12"/>
  <c r="C17" i="12"/>
  <c r="C19" i="12" s="1"/>
  <c r="C10" i="12"/>
  <c r="C12" i="12" s="1"/>
  <c r="D38" i="12"/>
  <c r="F31" i="12"/>
  <c r="Q10" i="5"/>
  <c r="G10" i="5"/>
  <c r="H10" i="5"/>
  <c r="N10" i="5"/>
  <c r="R10" i="5"/>
  <c r="O10" i="5"/>
  <c r="W10" i="5"/>
  <c r="M10" i="5"/>
  <c r="I10" i="5"/>
  <c r="T10" i="5"/>
  <c r="P10" i="5"/>
  <c r="K10" i="5"/>
  <c r="F10" i="5"/>
  <c r="E24" i="6"/>
  <c r="E26" i="6" s="1"/>
  <c r="V10" i="5"/>
  <c r="D24" i="6"/>
  <c r="D10" i="6"/>
  <c r="E17" i="6"/>
  <c r="U10" i="5"/>
  <c r="L10" i="5"/>
  <c r="S10" i="5"/>
  <c r="F38" i="6"/>
  <c r="F31" i="6"/>
  <c r="D17" i="6"/>
  <c r="E10" i="6"/>
  <c r="C17" i="6"/>
  <c r="D38" i="6"/>
  <c r="F24" i="6"/>
  <c r="E38" i="6"/>
  <c r="C31" i="6"/>
  <c r="E31" i="6"/>
  <c r="D31" i="6"/>
  <c r="C24" i="6"/>
  <c r="C10" i="6"/>
  <c r="G35" i="9" a="1"/>
  <c r="B37" i="9" a="1"/>
  <c r="G28" i="9" a="1"/>
  <c r="G41" i="9" a="1"/>
  <c r="G34" i="9" a="1"/>
  <c r="B29" i="9" a="1"/>
  <c r="B35" i="9" a="1"/>
  <c r="G33" i="9" a="1"/>
  <c r="G24" i="9" a="1"/>
  <c r="G25" i="9" a="1"/>
  <c r="B27" i="9" a="1"/>
  <c r="B28" i="9" a="1"/>
  <c r="G36" i="9" a="1"/>
  <c r="B42" i="9" a="1"/>
  <c r="B30" i="9" a="1"/>
  <c r="B26" i="9" a="1"/>
  <c r="B34" i="9" a="1"/>
  <c r="B40" i="9" a="1"/>
  <c r="G29" i="9" a="1"/>
  <c r="B33" i="9" a="1"/>
  <c r="G40" i="9" a="1"/>
  <c r="B41" i="9" a="1"/>
  <c r="G26" i="9" a="1"/>
  <c r="G39" i="9" a="1"/>
  <c r="G31" i="9" a="1"/>
  <c r="B31" i="9" a="1"/>
  <c r="G42" i="9" a="1"/>
  <c r="B25" i="9" a="1"/>
  <c r="B24" i="9" a="1"/>
  <c r="B36" i="9" a="1"/>
  <c r="B32" i="9" a="1"/>
  <c r="G32" i="9" a="1"/>
  <c r="G30" i="9" a="1"/>
  <c r="G37" i="9" a="1"/>
  <c r="G27" i="9" a="1"/>
  <c r="B39" i="9" a="1"/>
  <c r="G42" i="9" l="1"/>
  <c r="C5" i="12"/>
  <c r="C6" i="12"/>
  <c r="C7" i="12"/>
  <c r="G40" i="12"/>
  <c r="G29" i="9"/>
  <c r="G37" i="9"/>
  <c r="G31" i="9"/>
  <c r="G40" i="9"/>
  <c r="G39" i="9"/>
  <c r="G27" i="9"/>
  <c r="G26" i="9"/>
  <c r="G28" i="9"/>
  <c r="G41" i="9"/>
  <c r="G24" i="9"/>
  <c r="G30" i="9"/>
  <c r="G35" i="9"/>
  <c r="G36" i="9"/>
  <c r="G25" i="9"/>
  <c r="G34" i="9"/>
  <c r="G33" i="9"/>
  <c r="G32" i="9"/>
  <c r="B42" i="9"/>
  <c r="G40" i="6"/>
  <c r="B41" i="9"/>
  <c r="F40" i="6"/>
  <c r="B40" i="9"/>
  <c r="B39" i="9"/>
  <c r="B37" i="9"/>
  <c r="B36" i="9"/>
  <c r="B35" i="9"/>
  <c r="B34" i="9"/>
  <c r="B33" i="9"/>
  <c r="B32" i="9"/>
  <c r="B31" i="9"/>
  <c r="B30" i="9"/>
  <c r="B29" i="9"/>
  <c r="E19" i="6"/>
  <c r="B28" i="9"/>
  <c r="D19" i="6"/>
  <c r="B27" i="9"/>
  <c r="C19" i="6"/>
  <c r="B26" i="9"/>
  <c r="B25" i="9"/>
  <c r="D12" i="6"/>
  <c r="B24" i="9"/>
  <c r="C12" i="6"/>
  <c r="C5" i="6"/>
  <c r="C6" i="6"/>
  <c r="C7" i="6"/>
  <c r="B46" i="9" a="1"/>
  <c r="G47" i="9" a="1"/>
  <c r="G46" i="9" a="1"/>
  <c r="G45" i="9" a="1"/>
  <c r="B45" i="9" a="1"/>
  <c r="B47" i="9" a="1"/>
  <c r="E8" i="31" l="1"/>
  <c r="E10" i="31" s="1"/>
  <c r="E8" i="37"/>
  <c r="E10" i="37" s="1"/>
  <c r="E10" i="13"/>
  <c r="G46" i="9"/>
  <c r="G47" i="9"/>
  <c r="G45" i="9"/>
  <c r="E8" i="10"/>
  <c r="E8" i="5"/>
  <c r="B47" i="9"/>
  <c r="B46" i="9"/>
  <c r="B45" i="9"/>
  <c r="E8" i="7"/>
  <c r="C38" i="12" a="1"/>
  <c r="C38" i="6" a="1"/>
  <c r="C38" i="12" l="1"/>
  <c r="E10" i="10"/>
  <c r="E10" i="7"/>
  <c r="C38" i="6"/>
  <c r="E10" i="5"/>
  <c r="G38" i="9" a="1"/>
  <c r="B38" i="9" a="1"/>
  <c r="B38" i="9" l="1"/>
  <c r="G3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<sst xmlns="http://schemas.openxmlformats.org/spreadsheetml/2006/main" count="2557" uniqueCount="273">
  <si>
    <t>Ingredient</t>
  </si>
  <si>
    <t>Trade Name</t>
  </si>
  <si>
    <t>CAS</t>
  </si>
  <si>
    <t>GCAS</t>
  </si>
  <si>
    <t>kCal (US Rules)</t>
  </si>
  <si>
    <t>Calories from Fat</t>
  </si>
  <si>
    <t>Total Fat</t>
  </si>
  <si>
    <t>Saturated Fat</t>
  </si>
  <si>
    <t>Trans Fat</t>
  </si>
  <si>
    <t>Cholesterol</t>
  </si>
  <si>
    <t>Total carbohydrate</t>
  </si>
  <si>
    <t>Total dietary fiber</t>
  </si>
  <si>
    <t>Soluble fiber</t>
  </si>
  <si>
    <t xml:space="preserve">Sugar </t>
  </si>
  <si>
    <t>Added Sugars</t>
  </si>
  <si>
    <t xml:space="preserve">Iron </t>
  </si>
  <si>
    <t>Potassium</t>
  </si>
  <si>
    <t>Sodium</t>
  </si>
  <si>
    <t>Calcium</t>
  </si>
  <si>
    <t>Vitamin A</t>
  </si>
  <si>
    <t>Vitamin C</t>
  </si>
  <si>
    <t>Vitamin D</t>
  </si>
  <si>
    <t>Protein</t>
  </si>
  <si>
    <t>Psyllium</t>
  </si>
  <si>
    <t>Maltodextrin</t>
  </si>
  <si>
    <t>Tate&amp; Lyle Star-Dri 100N-S</t>
  </si>
  <si>
    <t>Citric Acid Anhydrous</t>
  </si>
  <si>
    <t>Stevia</t>
  </si>
  <si>
    <t>ADM Stevia RA97</t>
  </si>
  <si>
    <t>E20121886 SENSE CAPTURE ORANGE NATURAL ORANGE FLAVOR WONF</t>
  </si>
  <si>
    <t>Paprika</t>
  </si>
  <si>
    <t>MicroCap P-21-WSS-P-125-500</t>
  </si>
  <si>
    <t>Turmeric</t>
  </si>
  <si>
    <t>i-Colors Yellow 901 WSS-P</t>
  </si>
  <si>
    <t>xxxxxxxxxxxxxxxxxxxxxxxxxxxxxxxxxx</t>
  </si>
  <si>
    <t>Pick list items in blue</t>
  </si>
  <si>
    <t>edit yellow/orange cells</t>
  </si>
  <si>
    <t>green are results</t>
  </si>
  <si>
    <t>Product</t>
  </si>
  <si>
    <t>Total =</t>
  </si>
  <si>
    <t>add g, mg, IU, ncg / 100 g row</t>
  </si>
  <si>
    <t>% w/w</t>
  </si>
  <si>
    <t>Dose wt</t>
  </si>
  <si>
    <t>Calories (US Rules)</t>
  </si>
  <si>
    <t>1g =0.00220462lb</t>
  </si>
  <si>
    <t>1g =0.035274oz</t>
  </si>
  <si>
    <t>grams</t>
  </si>
  <si>
    <t>lb</t>
  </si>
  <si>
    <t>oz</t>
  </si>
  <si>
    <t>Class II  -  NLT 80% of Label</t>
  </si>
  <si>
    <t>Totals</t>
  </si>
  <si>
    <t>RDI</t>
  </si>
  <si>
    <t>NA</t>
  </si>
  <si>
    <t>%RDI</t>
  </si>
  <si>
    <r>
      <t xml:space="preserve">&lt; 0.5g - express as 0
&lt; 1g - express as "contains less than 1g" or "less than 1g"
</t>
    </r>
    <r>
      <rPr>
        <sz val="10"/>
        <color rgb="FF0070C0"/>
        <rFont val="Calibri"/>
        <family val="2"/>
      </rPr>
      <t>≥</t>
    </r>
    <r>
      <rPr>
        <sz val="9.4"/>
        <color rgb="FF0070C0"/>
        <rFont val="Calibri"/>
        <family val="2"/>
      </rPr>
      <t>1g - express to nearest 1g increment</t>
    </r>
    <r>
      <rPr>
        <sz val="9.4"/>
        <rFont val="Calibri"/>
        <family val="2"/>
      </rPr>
      <t xml:space="preserve">
Insignificant amount is &lt; 1g</t>
    </r>
  </si>
  <si>
    <r>
      <t xml:space="preserve">- </t>
    </r>
    <r>
      <rPr>
        <sz val="10"/>
        <color rgb="FF0070C0"/>
        <rFont val="Calibri"/>
        <family val="2"/>
        <scheme val="minor"/>
      </rPr>
      <t xml:space="preserve">Label value  based on calculation of psyllium being 70% soluble fiber (3.4g psyllium * 0.70 = </t>
    </r>
    <r>
      <rPr>
        <b/>
        <sz val="10"/>
        <color rgb="FF0070C0"/>
        <rFont val="Calibri"/>
        <family val="2"/>
      </rPr>
      <t>2.4g</t>
    </r>
    <r>
      <rPr>
        <sz val="10"/>
        <color rgb="FF0070C0"/>
        <rFont val="Calibri"/>
        <family val="2"/>
      </rPr>
      <t>)</t>
    </r>
    <r>
      <rPr>
        <sz val="10"/>
        <rFont val="Calibri"/>
        <family val="2"/>
      </rPr>
      <t xml:space="preserve">
&lt; 0.5g - express as 0
&lt; 1g - express as "contains less than 1g" or "less than 1g"
</t>
    </r>
    <r>
      <rPr>
        <sz val="10"/>
        <color rgb="FF0070C0"/>
        <rFont val="Calibri"/>
        <family val="2"/>
      </rPr>
      <t>≥1g - express to nearest 1g increment</t>
    </r>
    <r>
      <rPr>
        <sz val="10"/>
        <rFont val="Calibri"/>
        <family val="2"/>
      </rPr>
      <t xml:space="preserve">
Insignificant amount is &lt; 0.5g</t>
    </r>
  </si>
  <si>
    <t>Reco.</t>
  </si>
  <si>
    <t>5g</t>
  </si>
  <si>
    <t>3g</t>
  </si>
  <si>
    <t>2g</t>
  </si>
  <si>
    <t>30 mg</t>
  </si>
  <si>
    <t>4 IU</t>
  </si>
  <si>
    <t>none</t>
  </si>
  <si>
    <t>0g</t>
  </si>
  <si>
    <t>Third Group - NMT 120% of Label</t>
  </si>
  <si>
    <t>&lt; 5 cal - express as 0
≤ 50 cal - express to nearest 5 cal increment
&gt; 50 cal - express to nearest 10 cal increment
Insignificant amount is &lt; 5 cal</t>
  </si>
  <si>
    <t>20kCal</t>
  </si>
  <si>
    <t>5mg</t>
  </si>
  <si>
    <t>dose [g]</t>
  </si>
  <si>
    <t>lbs</t>
  </si>
  <si>
    <t>10046056 or 10046057</t>
  </si>
  <si>
    <t>Natural Orange Flavor</t>
  </si>
  <si>
    <t>Collagen (Agglomerated)</t>
  </si>
  <si>
    <t>Sodium Bicarbonate</t>
  </si>
  <si>
    <t>Malic Acid</t>
  </si>
  <si>
    <t>Aspartame</t>
  </si>
  <si>
    <t>Ace-K</t>
  </si>
  <si>
    <t>10048502 or10048503</t>
  </si>
  <si>
    <t>Citrus Flavor</t>
  </si>
  <si>
    <t>Berry Flavor</t>
  </si>
  <si>
    <t>Orange Flavor (Artificial)</t>
  </si>
  <si>
    <t>10055911
90629560</t>
  </si>
  <si>
    <t>Pink Lemonade (Natural Lemon)</t>
  </si>
  <si>
    <t>Vitamin Blend</t>
  </si>
  <si>
    <t>Yellow 6 (FD&amp;IC)</t>
  </si>
  <si>
    <t>Red no. 40 (FD&amp;IC)</t>
  </si>
  <si>
    <t>Blue no. 1(FD&amp;IC)</t>
  </si>
  <si>
    <t>STOF2</t>
  </si>
  <si>
    <t xml:space="preserve">Edited/created on </t>
  </si>
  <si>
    <t>By</t>
  </si>
  <si>
    <t>Brooke Baker</t>
  </si>
  <si>
    <t>for</t>
  </si>
  <si>
    <t>Project 5-way</t>
  </si>
  <si>
    <t>Smooth Texture Sugar Free Orange Natural Dyes</t>
  </si>
  <si>
    <t>Formulation</t>
  </si>
  <si>
    <t>Calories</t>
  </si>
  <si>
    <t>Per 21 CFR 101.9 (c) (1) (i): part (B)</t>
  </si>
  <si>
    <t>Per 21 CFR 101.9 (c) (1) (i): part (C)</t>
  </si>
  <si>
    <t>Total Calories [Per 21 CFR 101.9 (c) (1) (i): part (B) – not using Total Fiber value] = (4 x Protein) + (4 x Total Carbohydrate) + (9 x Total Fat)</t>
  </si>
  <si>
    <t>single dose</t>
  </si>
  <si>
    <t>double dose</t>
  </si>
  <si>
    <t>B</t>
  </si>
  <si>
    <t>C</t>
  </si>
  <si>
    <t>C+</t>
  </si>
  <si>
    <t>Calorie Rules</t>
  </si>
  <si>
    <t>AminoSweet Aspartame</t>
  </si>
  <si>
    <t>Disco'd</t>
  </si>
  <si>
    <t>Granulated sugar</t>
  </si>
  <si>
    <t>BCP-500A</t>
  </si>
  <si>
    <t>Natural and Artificial Orange Flavor 059432 TBHAP0551</t>
  </si>
  <si>
    <t>FD&amp;IC Yellow No. 6</t>
  </si>
  <si>
    <t>Arm &amp; Hammer™Sodium Bicarbonate USP FCC</t>
  </si>
  <si>
    <t>servings</t>
  </si>
  <si>
    <t>US rules (C) with sol. Fiber</t>
  </si>
  <si>
    <t>DRIVER (g weight)</t>
  </si>
  <si>
    <r>
      <t xml:space="preserve">Total Calories [Per 21 CFR 101.9 (c) (1) (i): part (C) – </t>
    </r>
    <r>
      <rPr>
        <b/>
        <sz val="10"/>
        <color theme="1"/>
        <rFont val="Calibri"/>
        <family val="2"/>
        <scheme val="minor"/>
      </rPr>
      <t>do NOT have Soluble/Insoluble Fiber values</t>
    </r>
    <r>
      <rPr>
        <sz val="10"/>
        <color theme="1"/>
        <rFont val="Calibri"/>
        <family val="2"/>
        <scheme val="minor"/>
      </rPr>
      <t>, only Total Fiber] = (4 x Protein) + (9 x Total Fat) + [4 x (Total Carbohydrate – Total Fiber)] + [2 x Total Fiber]</t>
    </r>
  </si>
  <si>
    <r>
      <t xml:space="preserve">Total Calories [Per 21 CFR 101.9 (c) (1) (i): part (C) – </t>
    </r>
    <r>
      <rPr>
        <b/>
        <sz val="10"/>
        <color theme="1"/>
        <rFont val="Calibri"/>
        <family val="2"/>
        <scheme val="minor"/>
      </rPr>
      <t>have Soluble/Insoluble Fiber values</t>
    </r>
    <r>
      <rPr>
        <sz val="10"/>
        <color theme="1"/>
        <rFont val="Calibri"/>
        <family val="2"/>
        <scheme val="minor"/>
      </rPr>
      <t>] = (4 x Protein) + (9 x Total Fat) + [4 x (Total Carbohydrate – Total Fiber)] + [2 x Soluble Fiber]</t>
    </r>
  </si>
  <si>
    <t>STOF</t>
  </si>
  <si>
    <t>with</t>
  </si>
  <si>
    <t>Formula</t>
  </si>
  <si>
    <t>Nutrition</t>
  </si>
  <si>
    <t>Ingredients</t>
  </si>
  <si>
    <t>Weight %</t>
  </si>
  <si>
    <t>kCal</t>
  </si>
  <si>
    <t>units</t>
  </si>
  <si>
    <t>Dose Size</t>
  </si>
  <si>
    <t>g</t>
  </si>
  <si>
    <t>Calories (rules)</t>
  </si>
  <si>
    <t>Plantaga Ovata</t>
  </si>
  <si>
    <t>label rec</t>
  </si>
  <si>
    <t>mg</t>
  </si>
  <si>
    <t>&lt;2% DV</t>
  </si>
  <si>
    <t>mcg</t>
  </si>
  <si>
    <t>IU</t>
  </si>
  <si>
    <t>STONF</t>
  </si>
  <si>
    <t>NOTE: RULES COPIED FROM THIS TAB!!!!</t>
  </si>
  <si>
    <t>STOS</t>
  </si>
  <si>
    <t>30kCal</t>
  </si>
  <si>
    <t>STOS2</t>
  </si>
  <si>
    <t>50%+stevia</t>
  </si>
  <si>
    <t>2% DV</t>
  </si>
  <si>
    <t>STBF</t>
  </si>
  <si>
    <t>STCFX</t>
  </si>
  <si>
    <t>STCF</t>
  </si>
  <si>
    <t>OTO</t>
  </si>
  <si>
    <t>OTR</t>
  </si>
  <si>
    <t>STR</t>
  </si>
  <si>
    <t>Formulas Acronym List</t>
  </si>
  <si>
    <t>Smooth Texture Sugar Free Natural Orange</t>
  </si>
  <si>
    <t>Smooth Texture Sugar Free Orange</t>
  </si>
  <si>
    <t>Smooth Texture Sugar Orange</t>
  </si>
  <si>
    <t>Smooth Texture Sugar Orange Natural Dyes</t>
  </si>
  <si>
    <t>Smooth Texture Sugar Free Berry</t>
  </si>
  <si>
    <t>Smooth Texture Sugar Free Citrus no Dyes</t>
  </si>
  <si>
    <t>Smooth Texture Sugar Free Citrus</t>
  </si>
  <si>
    <t>Original Texture Orange</t>
  </si>
  <si>
    <t>Original Texture Regular</t>
  </si>
  <si>
    <t>Smooth Texture Regular</t>
  </si>
  <si>
    <t>Formula name</t>
  </si>
  <si>
    <t>STONFC</t>
  </si>
  <si>
    <t>0 or "Contains less than 2% daily value of this nutrient."</t>
  </si>
  <si>
    <t>15kCal</t>
  </si>
  <si>
    <t>Eurofins samples number</t>
  </si>
  <si>
    <t>per 100g</t>
  </si>
  <si>
    <t>&lt;.01</t>
  </si>
  <si>
    <t>mg/g</t>
  </si>
  <si>
    <t>mcg/g</t>
  </si>
  <si>
    <t>per dose (7g)</t>
  </si>
  <si>
    <t>7g</t>
  </si>
  <si>
    <t>Calculated</t>
  </si>
  <si>
    <t>Tested</t>
  </si>
  <si>
    <t>v</t>
  </si>
  <si>
    <t>Test Results from Eurofins 2/11/2025</t>
  </si>
  <si>
    <t>Test Results from Eurofins 10/23/2024</t>
  </si>
  <si>
    <t>per dose (5.8g)</t>
  </si>
  <si>
    <t>&lt;1</t>
  </si>
  <si>
    <t>&lt;0.007</t>
  </si>
  <si>
    <t>per dose (12g)</t>
  </si>
  <si>
    <t>12g</t>
  </si>
  <si>
    <t>0 or "Contains less than 2% of the Daily value of this nutrient"</t>
  </si>
  <si>
    <t>40kCal</t>
  </si>
  <si>
    <t>0mg</t>
  </si>
  <si>
    <t>Calculated(above)</t>
  </si>
  <si>
    <t>8g</t>
  </si>
  <si>
    <t>&lt;0.01</t>
  </si>
  <si>
    <t>NOT REPORTED</t>
  </si>
  <si>
    <t>Test Results from Eurofins 2/5/2025</t>
  </si>
  <si>
    <t>&lt;.007</t>
  </si>
  <si>
    <t>Test Results from Eurofins 2/15/2025</t>
  </si>
  <si>
    <t>per dose (5.4g)</t>
  </si>
  <si>
    <t>&lt;0.001</t>
  </si>
  <si>
    <t>0 or "Contains less than 2% of the Daily Value of this nutrient"</t>
  </si>
  <si>
    <t>FOP</t>
  </si>
  <si>
    <t>Date Updated/Approved</t>
  </si>
  <si>
    <t>OH-222 (Y/N)</t>
  </si>
  <si>
    <t>Enovai DOC Reference</t>
  </si>
  <si>
    <t>Priority</t>
  </si>
  <si>
    <t>Smooth Texture Sugar Free Natural Orange Plus Collagen</t>
  </si>
  <si>
    <t>STONFV</t>
  </si>
  <si>
    <t>Smooth Texture Sugar Free Natural Orange Plus Vitamins</t>
  </si>
  <si>
    <t>8063-16-9</t>
  </si>
  <si>
    <t>9050-36-6</t>
  </si>
  <si>
    <t>77-92-9</t>
  </si>
  <si>
    <t>58543-16-1</t>
  </si>
  <si>
    <t>22839-47-0</t>
  </si>
  <si>
    <t>2783-94-0</t>
  </si>
  <si>
    <t>Iron [Mandatory]</t>
  </si>
  <si>
    <t>Potassium [Mandatory]</t>
  </si>
  <si>
    <t>Calcium [Mandatory]</t>
  </si>
  <si>
    <r>
      <t xml:space="preserve">&lt;2% DV: shall not be declared 
</t>
    </r>
    <r>
      <rPr>
        <u/>
        <sz val="11"/>
        <color theme="1"/>
        <rFont val="Calibri"/>
        <family val="2"/>
        <scheme val="minor"/>
      </rPr>
      <t xml:space="preserve">&gt; </t>
    </r>
    <r>
      <rPr>
        <sz val="11"/>
        <color theme="1"/>
        <rFont val="Calibri"/>
        <family val="2"/>
        <scheme val="minor"/>
      </rPr>
      <t>2% DV: round to nearest 0.1 mg and round to nearest % DV</t>
    </r>
  </si>
  <si>
    <r>
      <t xml:space="preserve">&lt;2% DV: shall not be declared 
</t>
    </r>
    <r>
      <rPr>
        <u/>
        <sz val="11"/>
        <color theme="1"/>
        <rFont val="Calibri"/>
        <family val="2"/>
        <scheme val="minor"/>
      </rPr>
      <t xml:space="preserve">&gt; </t>
    </r>
    <r>
      <rPr>
        <sz val="11"/>
        <color theme="1"/>
        <rFont val="Calibri"/>
        <family val="2"/>
        <scheme val="minor"/>
      </rPr>
      <t>2% DV: round to nearest 10 mg and round to nearest % DV</t>
    </r>
  </si>
  <si>
    <r>
      <t xml:space="preserve">&lt;2% DV: shall not be declared 
</t>
    </r>
    <r>
      <rPr>
        <u/>
        <sz val="11"/>
        <color theme="1"/>
        <rFont val="Calibri"/>
        <family val="2"/>
        <scheme val="minor"/>
      </rPr>
      <t xml:space="preserve">&gt; </t>
    </r>
    <r>
      <rPr>
        <sz val="11"/>
        <color theme="1"/>
        <rFont val="Calibri"/>
        <family val="2"/>
        <scheme val="minor"/>
      </rPr>
      <t>2% DV: round to nearest 10 mcg RAE and round to nearest % DV</t>
    </r>
  </si>
  <si>
    <r>
      <t xml:space="preserve">&lt;2% DV: shall not be declared 
</t>
    </r>
    <r>
      <rPr>
        <u/>
        <sz val="11"/>
        <color theme="1"/>
        <rFont val="Calibri"/>
        <family val="2"/>
        <scheme val="minor"/>
      </rPr>
      <t xml:space="preserve">&gt; </t>
    </r>
    <r>
      <rPr>
        <sz val="11"/>
        <color theme="1"/>
        <rFont val="Calibri"/>
        <family val="2"/>
        <scheme val="minor"/>
      </rPr>
      <t>2% DV: round to nearest 1 mg and round to nearest % DV</t>
    </r>
  </si>
  <si>
    <r>
      <t xml:space="preserve">&lt;2% DV: shall not be declared 
</t>
    </r>
    <r>
      <rPr>
        <u/>
        <sz val="11"/>
        <color theme="1"/>
        <rFont val="Calibri"/>
        <family val="2"/>
        <scheme val="minor"/>
      </rPr>
      <t xml:space="preserve">&gt; </t>
    </r>
    <r>
      <rPr>
        <sz val="11"/>
        <color theme="1"/>
        <rFont val="Calibri"/>
        <family val="2"/>
        <scheme val="minor"/>
      </rPr>
      <t>2% DV: round to nearest 0.1 mcg and round to nearest % DV</t>
    </r>
  </si>
  <si>
    <t>&lt; 0.5g - express as 0
&lt; 1g - express as "contains less than 1g" or "less than 1g"
≥1g - express to nearest 1g increment
Insignificant amount is &lt; 0.5g</t>
  </si>
  <si>
    <t>Vitamin A [Voluntary]</t>
  </si>
  <si>
    <t>Vitamin C [Voluntary]</t>
  </si>
  <si>
    <t>Vitamin D [Mandatory]</t>
  </si>
  <si>
    <t>900 mcg RAE</t>
  </si>
  <si>
    <t>20 microgram</t>
  </si>
  <si>
    <t xml:space="preserve">&lt; 0.5g - express as 0
&lt; 5 g - nearest 0.5 g increment
&gt; 5 g: nearest 1 g increment
</t>
  </si>
  <si>
    <t>&lt; 2mg: express as 0
2-5 mg: "less than 5 mg"
&gt; 5 mg: 5 mg increment</t>
  </si>
  <si>
    <t>300 mg</t>
  </si>
  <si>
    <t>Not required to be declared</t>
  </si>
  <si>
    <t>&lt; 5mg - express as 0
5-140mg - express to nearest 5mg increment
&gt; 140mg - express to nearest 10mg increment
Insignificant amount is &lt; 5mg</t>
  </si>
  <si>
    <t>NEW Natural Orange Flavor</t>
  </si>
  <si>
    <t>E25012409 Powerdry PR Orange Natural Orange Flavor WONF</t>
  </si>
  <si>
    <t>.</t>
  </si>
  <si>
    <t>STONF2</t>
  </si>
  <si>
    <r>
      <t xml:space="preserve">&lt;2% DV: shall not be declared 
</t>
    </r>
    <r>
      <rPr>
        <u/>
        <sz val="10"/>
        <color theme="1"/>
        <rFont val="Calibri"/>
        <family val="2"/>
        <scheme val="minor"/>
      </rPr>
      <t xml:space="preserve">&gt; </t>
    </r>
    <r>
      <rPr>
        <sz val="10"/>
        <color theme="1"/>
        <rFont val="Calibri"/>
        <family val="2"/>
        <scheme val="minor"/>
      </rPr>
      <t>2% DV: round to nearest 10 mcg RAE and round to nearest % DV</t>
    </r>
  </si>
  <si>
    <r>
      <t xml:space="preserve">&lt;2% DV: shall not be declared 
</t>
    </r>
    <r>
      <rPr>
        <u/>
        <sz val="10"/>
        <color theme="1"/>
        <rFont val="Calibri"/>
        <family val="2"/>
        <scheme val="minor"/>
      </rPr>
      <t xml:space="preserve">&gt; </t>
    </r>
    <r>
      <rPr>
        <sz val="10"/>
        <color theme="1"/>
        <rFont val="Calibri"/>
        <family val="2"/>
        <scheme val="minor"/>
      </rPr>
      <t>2% DV: round to nearest 1 mg and round to nearest % DV</t>
    </r>
  </si>
  <si>
    <r>
      <t xml:space="preserve">&lt;2% DV: shall not be declared 
</t>
    </r>
    <r>
      <rPr>
        <u/>
        <sz val="10"/>
        <color theme="1"/>
        <rFont val="Calibri"/>
        <family val="2"/>
        <scheme val="minor"/>
      </rPr>
      <t xml:space="preserve">&gt; </t>
    </r>
    <r>
      <rPr>
        <sz val="10"/>
        <color theme="1"/>
        <rFont val="Calibri"/>
        <family val="2"/>
        <scheme val="minor"/>
      </rPr>
      <t>2% DV: round to nearest 0.1 mcg and round to nearest % DV</t>
    </r>
  </si>
  <si>
    <t>&lt;0.010</t>
  </si>
  <si>
    <t>Test Results from Eurofins 2/6/2024</t>
  </si>
  <si>
    <t>Husky</t>
  </si>
  <si>
    <t>Original Texture Sugar Free No Dyes</t>
  </si>
  <si>
    <t>4g</t>
  </si>
  <si>
    <t>50 mg</t>
  </si>
  <si>
    <t>0 IU</t>
  </si>
  <si>
    <t>10kCal</t>
  </si>
  <si>
    <t>Sugar</t>
  </si>
  <si>
    <t>Mixture</t>
  </si>
  <si>
    <t>68917-78-2</t>
  </si>
  <si>
    <t>84775-52-0</t>
  </si>
  <si>
    <t>For paprika and turmeric, it is only CAS no. of the active in it, not carryovers or impurities)</t>
  </si>
  <si>
    <t>1 x serving</t>
  </si>
  <si>
    <t>serving size (g)</t>
  </si>
  <si>
    <t xml:space="preserve">2x serving </t>
  </si>
  <si>
    <t>4.2 (4)</t>
  </si>
  <si>
    <t>8.4 (8)</t>
  </si>
  <si>
    <t>5.04 (5)</t>
  </si>
  <si>
    <t>10.08 (10)</t>
  </si>
  <si>
    <t>5.712 (6)</t>
  </si>
  <si>
    <t>11.42 (11)</t>
  </si>
  <si>
    <t>4.5360 (5)</t>
  </si>
  <si>
    <r>
      <t>9.072</t>
    </r>
    <r>
      <rPr>
        <b/>
        <sz val="9"/>
        <color rgb="FFFF0000"/>
        <rFont val="Calibri"/>
        <family val="2"/>
        <scheme val="minor"/>
      </rPr>
      <t xml:space="preserve"> (9)</t>
    </r>
  </si>
  <si>
    <t>total dietary fiber (label rounds to)</t>
  </si>
  <si>
    <t>HPMC Capsules</t>
  </si>
  <si>
    <t>Capsugel empty hypromellose-based capsule products</t>
  </si>
  <si>
    <t>HPMC Psyllium Caps</t>
  </si>
  <si>
    <t>Arches Caps</t>
  </si>
  <si>
    <t>Psyllium Potassium levels updated to reflect 6-lot nutritiondata from 2013</t>
  </si>
  <si>
    <t>Arches</t>
  </si>
  <si>
    <t>HPMC capsules</t>
  </si>
  <si>
    <t>based on 3 caps</t>
  </si>
  <si>
    <t>10 mg  (&lt;2%)</t>
  </si>
  <si>
    <t>1g</t>
  </si>
  <si>
    <t>Saguaro</t>
  </si>
  <si>
    <t>6g</t>
  </si>
  <si>
    <t>Smooth Texture Sugar Free Natural Orange NO DYES</t>
  </si>
  <si>
    <t>Original Texture No additives</t>
  </si>
  <si>
    <t>Metamcil Psyllium-Filled HPMC Capsules</t>
  </si>
  <si>
    <t>Smooth Texture Sugar Free Natural Orange (globally compliant flavor)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</si>
</sst>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General\ &quot;g/100g&quot;"/>
    <numFmt numFmtId="165" formatCode="General\ &quot;mg/100g&quot;"/>
    <numFmt numFmtId="166" formatCode="0.0000\ &quot;mg/100g&quot;"/>
    <numFmt numFmtId="167" formatCode="0.0000\ &quot;g/100g&quot;"/>
    <numFmt numFmtId="168" formatCode="0.0000\ &quot;µg/100g&quot;"/>
    <numFmt numFmtId="169" formatCode="0.0000\ &quot;IU/100g&quot;"/>
    <numFmt numFmtId="170" formatCode="0.0000%"/>
    <numFmt numFmtId="171" formatCode="0.0\ &quot;kCal&quot;"/>
    <numFmt numFmtId="172" formatCode="0.00\ &quot;g&quot;"/>
    <numFmt numFmtId="173" formatCode="0.00\ &quot;mg&quot;"/>
    <numFmt numFmtId="174" formatCode="0.00\ &quot;IU&quot;"/>
    <numFmt numFmtId="175" formatCode="0.00\ &quot;µg&quot;"/>
    <numFmt numFmtId="176" formatCode="General\ &quot;g/serving&quot;"/>
    <numFmt numFmtId="177" formatCode="0.000"/>
    <numFmt numFmtId="178" formatCode="0.0000\ &quot;g/serving&quot;"/>
    <numFmt numFmtId="179" formatCode="0.00\ &quot;kCal&quot;"/>
    <numFmt numFmtId="180" formatCode="0.0"/>
    <numFmt numFmtId="181" formatCode="0.0%"/>
    <numFmt numFmtId="182" formatCode="0.0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</font>
    <font>
      <sz val="10"/>
      <name val="Calibri"/>
      <family val="2"/>
    </font>
    <font>
      <sz val="10"/>
      <name val="Calibri"/>
      <family val="2"/>
      <scheme val="minor"/>
    </font>
    <font>
      <sz val="10"/>
      <color rgb="FF0070C0"/>
      <name val="Calibri"/>
      <family val="2"/>
    </font>
    <font>
      <sz val="9.4"/>
      <color rgb="FF0070C0"/>
      <name val="Calibri"/>
      <family val="2"/>
    </font>
    <font>
      <sz val="9.4"/>
      <name val="Calibri"/>
      <family val="2"/>
    </font>
    <font>
      <sz val="10"/>
      <color rgb="FF0070C0"/>
      <name val="Calibri"/>
      <family val="2"/>
      <scheme val="minor"/>
    </font>
    <font>
      <b/>
      <sz val="10"/>
      <color rgb="FF0070C0"/>
      <name val="Calibri"/>
      <family val="2"/>
    </font>
    <font>
      <sz val="10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2">
    <xf numFmtId="0" fontId="0" fillId="0" borderId="0" xfId="0"/>
    <xf numFmtId="2" fontId="4" fillId="0" borderId="1" xfId="2" applyNumberFormat="1" applyFont="1" applyBorder="1" applyAlignment="1">
      <alignment horizontal="left" vertical="center" wrapText="1"/>
    </xf>
    <xf numFmtId="2" fontId="4" fillId="0" borderId="1" xfId="2" quotePrefix="1" applyNumberFormat="1" applyFont="1" applyBorder="1" applyAlignment="1">
      <alignment horizontal="left"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170" fontId="0" fillId="2" borderId="0" xfId="0" applyNumberFormat="1" applyFill="1"/>
    <xf numFmtId="170" fontId="0" fillId="3" borderId="0" xfId="1" applyNumberFormat="1" applyFont="1" applyFill="1"/>
    <xf numFmtId="0" fontId="0" fillId="3" borderId="0" xfId="0" applyFill="1"/>
    <xf numFmtId="0" fontId="0" fillId="4" borderId="0" xfId="0" applyFill="1"/>
    <xf numFmtId="177" fontId="0" fillId="0" borderId="0" xfId="0" applyNumberFormat="1"/>
    <xf numFmtId="178" fontId="0" fillId="2" borderId="0" xfId="0" applyNumberFormat="1" applyFill="1"/>
    <xf numFmtId="178" fontId="0" fillId="0" borderId="0" xfId="0" applyNumberFormat="1"/>
    <xf numFmtId="0" fontId="0" fillId="0" borderId="1" xfId="0" applyBorder="1"/>
    <xf numFmtId="0" fontId="0" fillId="0" borderId="1" xfId="0" applyBorder="1" applyAlignment="1">
      <alignment wrapText="1"/>
    </xf>
    <xf numFmtId="171" fontId="0" fillId="5" borderId="1" xfId="0" applyNumberFormat="1" applyFill="1" applyBorder="1"/>
    <xf numFmtId="172" fontId="0" fillId="5" borderId="1" xfId="0" applyNumberFormat="1" applyFill="1" applyBorder="1"/>
    <xf numFmtId="173" fontId="0" fillId="5" borderId="1" xfId="0" applyNumberFormat="1" applyFill="1" applyBorder="1"/>
    <xf numFmtId="174" fontId="0" fillId="5" borderId="1" xfId="0" applyNumberFormat="1" applyFill="1" applyBorder="1"/>
    <xf numFmtId="175" fontId="0" fillId="5" borderId="1" xfId="0" applyNumberFormat="1" applyFill="1" applyBorder="1"/>
    <xf numFmtId="9" fontId="0" fillId="0" borderId="1" xfId="1" applyFont="1" applyBorder="1"/>
    <xf numFmtId="10" fontId="0" fillId="0" borderId="1" xfId="1" applyNumberFormat="1" applyFont="1" applyBorder="1"/>
    <xf numFmtId="178" fontId="0" fillId="5" borderId="0" xfId="0" applyNumberFormat="1" applyFill="1"/>
    <xf numFmtId="2" fontId="4" fillId="0" borderId="0" xfId="2" applyNumberFormat="1" applyFont="1" applyAlignment="1">
      <alignment horizontal="left" vertical="center" wrapText="1"/>
    </xf>
    <xf numFmtId="1" fontId="0" fillId="0" borderId="0" xfId="0" applyNumberFormat="1" applyAlignment="1">
      <alignment horizontal="center" wrapText="1"/>
    </xf>
    <xf numFmtId="2" fontId="4" fillId="3" borderId="1" xfId="2" applyNumberFormat="1" applyFont="1" applyFill="1" applyBorder="1" applyAlignment="1">
      <alignment horizontal="left" vertical="center" wrapText="1"/>
    </xf>
    <xf numFmtId="0" fontId="0" fillId="3" borderId="1" xfId="0" applyFill="1" applyBorder="1" applyAlignment="1">
      <alignment wrapText="1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70" fontId="0" fillId="3" borderId="0" xfId="0" applyNumberFormat="1" applyFill="1"/>
    <xf numFmtId="179" fontId="0" fillId="2" borderId="0" xfId="0" applyNumberFormat="1" applyFill="1"/>
    <xf numFmtId="0" fontId="12" fillId="0" borderId="0" xfId="0" applyFont="1"/>
    <xf numFmtId="176" fontId="0" fillId="0" borderId="0" xfId="0" applyNumberFormat="1"/>
    <xf numFmtId="180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0" fontId="13" fillId="0" borderId="0" xfId="0" applyFont="1"/>
    <xf numFmtId="0" fontId="13" fillId="7" borderId="0" xfId="0" applyFont="1" applyFill="1"/>
    <xf numFmtId="0" fontId="0" fillId="0" borderId="2" xfId="0" applyBorder="1"/>
    <xf numFmtId="0" fontId="13" fillId="7" borderId="2" xfId="0" applyFont="1" applyFill="1" applyBorder="1"/>
    <xf numFmtId="14" fontId="13" fillId="7" borderId="2" xfId="0" applyNumberFormat="1" applyFont="1" applyFill="1" applyBorder="1"/>
    <xf numFmtId="0" fontId="13" fillId="7" borderId="2" xfId="0" applyFont="1" applyFill="1" applyBorder="1" applyAlignment="1">
      <alignment horizontal="right"/>
    </xf>
    <xf numFmtId="0" fontId="0" fillId="6" borderId="3" xfId="0" applyFill="1" applyBorder="1" applyAlignment="1">
      <alignment wrapText="1"/>
    </xf>
    <xf numFmtId="0" fontId="0" fillId="0" borderId="3" xfId="0" applyBorder="1" applyAlignment="1">
      <alignment wrapText="1"/>
    </xf>
    <xf numFmtId="0" fontId="14" fillId="0" borderId="1" xfId="0" applyFont="1" applyBorder="1"/>
    <xf numFmtId="0" fontId="0" fillId="8" borderId="0" xfId="0" applyFill="1"/>
    <xf numFmtId="0" fontId="0" fillId="8" borderId="3" xfId="0" applyFill="1" applyBorder="1"/>
    <xf numFmtId="0" fontId="14" fillId="8" borderId="3" xfId="0" applyFont="1" applyFill="1" applyBorder="1"/>
    <xf numFmtId="0" fontId="15" fillId="9" borderId="0" xfId="0" applyFont="1" applyFill="1"/>
    <xf numFmtId="0" fontId="0" fillId="9" borderId="0" xfId="0" applyFill="1"/>
    <xf numFmtId="0" fontId="0" fillId="9" borderId="0" xfId="0" applyFill="1" applyAlignment="1">
      <alignment horizontal="right"/>
    </xf>
    <xf numFmtId="167" fontId="0" fillId="9" borderId="0" xfId="0" applyNumberFormat="1" applyFill="1"/>
    <xf numFmtId="166" fontId="0" fillId="9" borderId="0" xfId="0" applyNumberFormat="1" applyFill="1"/>
    <xf numFmtId="169" fontId="0" fillId="9" borderId="0" xfId="0" applyNumberFormat="1" applyFill="1"/>
    <xf numFmtId="168" fontId="0" fillId="9" borderId="0" xfId="0" applyNumberFormat="1" applyFill="1"/>
    <xf numFmtId="176" fontId="12" fillId="0" borderId="0" xfId="0" applyNumberFormat="1" applyFont="1"/>
    <xf numFmtId="0" fontId="13" fillId="0" borderId="5" xfId="0" applyFont="1" applyBorder="1"/>
    <xf numFmtId="176" fontId="13" fillId="3" borderId="4" xfId="0" applyNumberFormat="1" applyFont="1" applyFill="1" applyBorder="1"/>
    <xf numFmtId="0" fontId="17" fillId="7" borderId="2" xfId="0" applyFont="1" applyFill="1" applyBorder="1"/>
    <xf numFmtId="0" fontId="18" fillId="0" borderId="2" xfId="0" applyFont="1" applyBorder="1"/>
    <xf numFmtId="0" fontId="18" fillId="0" borderId="0" xfId="0" applyFont="1"/>
    <xf numFmtId="167" fontId="18" fillId="0" borderId="0" xfId="0" applyNumberFormat="1" applyFont="1"/>
    <xf numFmtId="166" fontId="18" fillId="0" borderId="0" xfId="0" applyNumberFormat="1" applyFont="1"/>
    <xf numFmtId="169" fontId="18" fillId="0" borderId="0" xfId="0" applyNumberFormat="1" applyFont="1"/>
    <xf numFmtId="168" fontId="18" fillId="0" borderId="0" xfId="0" applyNumberFormat="1" applyFont="1"/>
    <xf numFmtId="0" fontId="18" fillId="0" borderId="0" xfId="0" applyFont="1" applyAlignment="1">
      <alignment wrapText="1"/>
    </xf>
    <xf numFmtId="177" fontId="18" fillId="0" borderId="0" xfId="0" applyNumberFormat="1" applyFont="1"/>
    <xf numFmtId="166" fontId="18" fillId="0" borderId="0" xfId="0" applyNumberFormat="1" applyFont="1" applyAlignment="1">
      <alignment wrapText="1"/>
    </xf>
    <xf numFmtId="0" fontId="10" fillId="0" borderId="1" xfId="0" applyFont="1" applyBorder="1"/>
    <xf numFmtId="179" fontId="0" fillId="0" borderId="0" xfId="0" applyNumberFormat="1"/>
    <xf numFmtId="179" fontId="18" fillId="0" borderId="0" xfId="0" applyNumberFormat="1" applyFont="1"/>
    <xf numFmtId="0" fontId="0" fillId="11" borderId="0" xfId="0" applyFill="1"/>
    <xf numFmtId="0" fontId="13" fillId="11" borderId="0" xfId="0" applyFont="1" applyFill="1"/>
    <xf numFmtId="0" fontId="12" fillId="11" borderId="0" xfId="0" applyFont="1" applyFill="1"/>
    <xf numFmtId="0" fontId="20" fillId="11" borderId="0" xfId="0" applyFont="1" applyFill="1"/>
    <xf numFmtId="171" fontId="0" fillId="0" borderId="0" xfId="0" applyNumberFormat="1"/>
    <xf numFmtId="171" fontId="0" fillId="9" borderId="0" xfId="0" applyNumberFormat="1" applyFill="1"/>
    <xf numFmtId="0" fontId="0" fillId="0" borderId="6" xfId="0" applyBorder="1"/>
    <xf numFmtId="0" fontId="0" fillId="0" borderId="7" xfId="0" applyBorder="1"/>
    <xf numFmtId="0" fontId="19" fillId="11" borderId="6" xfId="0" applyFont="1" applyFill="1" applyBorder="1"/>
    <xf numFmtId="0" fontId="20" fillId="11" borderId="7" xfId="0" applyFont="1" applyFill="1" applyBorder="1"/>
    <xf numFmtId="0" fontId="13" fillId="0" borderId="6" xfId="0" applyFont="1" applyBorder="1"/>
    <xf numFmtId="0" fontId="13" fillId="0" borderId="7" xfId="0" applyFont="1" applyBorder="1"/>
    <xf numFmtId="10" fontId="0" fillId="0" borderId="0" xfId="1" applyNumberFormat="1" applyFont="1" applyBorder="1"/>
    <xf numFmtId="0" fontId="18" fillId="0" borderId="0" xfId="0" applyFont="1" applyAlignment="1">
      <alignment horizontal="right"/>
    </xf>
    <xf numFmtId="0" fontId="18" fillId="0" borderId="7" xfId="0" applyFont="1" applyBorder="1" applyAlignment="1">
      <alignment horizontal="right"/>
    </xf>
    <xf numFmtId="0" fontId="12" fillId="0" borderId="6" xfId="0" applyFont="1" applyBorder="1"/>
    <xf numFmtId="43" fontId="12" fillId="0" borderId="0" xfId="3" applyFont="1" applyBorder="1"/>
    <xf numFmtId="0" fontId="12" fillId="0" borderId="7" xfId="0" applyFont="1" applyBorder="1"/>
    <xf numFmtId="0" fontId="0" fillId="11" borderId="7" xfId="0" applyFill="1" applyBorder="1"/>
    <xf numFmtId="0" fontId="0" fillId="11" borderId="6" xfId="0" applyFill="1" applyBorder="1"/>
    <xf numFmtId="0" fontId="21" fillId="0" borderId="6" xfId="0" applyFont="1" applyBorder="1"/>
    <xf numFmtId="0" fontId="21" fillId="0" borderId="0" xfId="0" applyFont="1"/>
    <xf numFmtId="0" fontId="21" fillId="0" borderId="7" xfId="0" applyFont="1" applyBorder="1"/>
    <xf numFmtId="170" fontId="0" fillId="0" borderId="0" xfId="0" applyNumberFormat="1"/>
    <xf numFmtId="167" fontId="13" fillId="0" borderId="0" xfId="0" applyNumberFormat="1" applyFont="1"/>
    <xf numFmtId="166" fontId="13" fillId="0" borderId="0" xfId="0" applyNumberFormat="1" applyFont="1"/>
    <xf numFmtId="169" fontId="13" fillId="0" borderId="0" xfId="0" applyNumberFormat="1" applyFont="1"/>
    <xf numFmtId="168" fontId="13" fillId="0" borderId="0" xfId="0" applyNumberFormat="1" applyFont="1"/>
    <xf numFmtId="0" fontId="0" fillId="3" borderId="1" xfId="0" applyFill="1" applyBorder="1" applyAlignment="1">
      <alignment horizont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2" fillId="0" borderId="12" xfId="0" applyFont="1" applyBorder="1"/>
    <xf numFmtId="0" fontId="12" fillId="0" borderId="13" xfId="0" applyFont="1" applyBorder="1"/>
    <xf numFmtId="0" fontId="0" fillId="7" borderId="0" xfId="0" applyFill="1"/>
    <xf numFmtId="0" fontId="12" fillId="0" borderId="0" xfId="0" applyFont="1" applyAlignment="1">
      <alignment horizontal="right"/>
    </xf>
    <xf numFmtId="2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 wrapText="1"/>
    </xf>
    <xf numFmtId="0" fontId="0" fillId="0" borderId="0" xfId="0" applyAlignment="1">
      <alignment horizontal="left"/>
    </xf>
    <xf numFmtId="0" fontId="12" fillId="0" borderId="0" xfId="0" applyFont="1" applyAlignment="1">
      <alignment horizontal="left"/>
    </xf>
    <xf numFmtId="10" fontId="12" fillId="0" borderId="0" xfId="4" applyNumberFormat="1" applyFont="1" applyAlignment="1">
      <alignment horizontal="left"/>
    </xf>
    <xf numFmtId="2" fontId="0" fillId="0" borderId="0" xfId="0" applyNumberFormat="1"/>
    <xf numFmtId="10" fontId="0" fillId="3" borderId="0" xfId="1" applyNumberFormat="1" applyFont="1" applyFill="1"/>
    <xf numFmtId="10" fontId="0" fillId="3" borderId="0" xfId="0" applyNumberFormat="1" applyFill="1"/>
    <xf numFmtId="0" fontId="13" fillId="0" borderId="1" xfId="0" applyFont="1" applyBorder="1"/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vertical="center" wrapText="1"/>
    </xf>
    <xf numFmtId="0" fontId="10" fillId="5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wrapText="1"/>
    </xf>
    <xf numFmtId="9" fontId="0" fillId="3" borderId="1" xfId="0" applyNumberFormat="1" applyFill="1" applyBorder="1" applyAlignment="1">
      <alignment wrapText="1"/>
    </xf>
    <xf numFmtId="0" fontId="0" fillId="0" borderId="7" xfId="0" applyBorder="1" applyAlignment="1">
      <alignment horizontal="left"/>
    </xf>
    <xf numFmtId="9" fontId="0" fillId="0" borderId="7" xfId="1" applyFont="1" applyBorder="1" applyAlignment="1">
      <alignment horizontal="left"/>
    </xf>
    <xf numFmtId="0" fontId="18" fillId="0" borderId="7" xfId="0" applyFont="1" applyBorder="1" applyAlignment="1">
      <alignment horizontal="left" wrapText="1"/>
    </xf>
    <xf numFmtId="2" fontId="18" fillId="0" borderId="0" xfId="0" applyNumberFormat="1" applyFont="1"/>
    <xf numFmtId="2" fontId="18" fillId="0" borderId="0" xfId="0" applyNumberFormat="1" applyFont="1" applyAlignment="1">
      <alignment horizontal="right"/>
    </xf>
    <xf numFmtId="177" fontId="18" fillId="0" borderId="0" xfId="0" applyNumberFormat="1" applyFont="1" applyAlignment="1">
      <alignment horizontal="right"/>
    </xf>
    <xf numFmtId="179" fontId="17" fillId="0" borderId="0" xfId="0" applyNumberFormat="1" applyFont="1"/>
    <xf numFmtId="178" fontId="25" fillId="0" borderId="0" xfId="0" applyNumberFormat="1" applyFont="1" applyAlignment="1">
      <alignment wrapText="1"/>
    </xf>
    <xf numFmtId="2" fontId="17" fillId="0" borderId="0" xfId="0" applyNumberFormat="1" applyFont="1"/>
    <xf numFmtId="181" fontId="18" fillId="0" borderId="0" xfId="1" applyNumberFormat="1" applyFont="1" applyAlignment="1">
      <alignment horizontal="right"/>
    </xf>
    <xf numFmtId="182" fontId="17" fillId="0" borderId="0" xfId="0" applyNumberFormat="1" applyFont="1"/>
    <xf numFmtId="0" fontId="0" fillId="10" borderId="6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7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2" borderId="0" xfId="0" applyFill="1" applyAlignment="1">
      <alignment horizont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5">
    <cellStyle name="Comma" xfId="3" builtinId="3"/>
    <cellStyle name="Normal" xfId="0" builtinId="0"/>
    <cellStyle name="Normal 2" xfId="2" xr:uid="{00000000-0005-0000-0000-000001000000}"/>
    <cellStyle name="Percent" xfId="1" builtinId="5"/>
    <cellStyle name="Percent 2" xfId="4" xr:uid="{8ACADAA1-D44E-4B58-8020-08EADEDEB2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342900</xdr:colOff>
      <xdr:row>43</xdr:row>
      <xdr:rowOff>104775</xdr:rowOff>
    </xdr:from>
    <xdr:to>
      <xdr:col>3</xdr:col>
      <xdr:colOff>1530985</xdr:colOff>
      <xdr:row>67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1039E8-BD70-8AEB-E3DF-00472C5EB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9775" y="16811625"/>
          <a:ext cx="3324860" cy="424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AF5CF-6A7A-425F-9CCA-04EA4F59CC47}">
  <dimension ref="A3:G21"/>
  <sheetViews>
    <sheetView workbookViewId="0">
      <selection activeCell="C4" sqref="C4"/>
    </sheetView>
  </sheetViews>
  <sheetFormatPr defaultRowHeight="14.5" x14ac:dyDescent="0.35"/>
  <cols>
    <col min="2" max="2" width="41.6328125" bestFit="1" customWidth="1"/>
    <col min="3" max="3" width="13.08984375" customWidth="1"/>
    <col min="4" max="6" width="18.26953125" customWidth="1"/>
  </cols>
  <sheetData>
    <row r="3" spans="1:7" ht="29" x14ac:dyDescent="0.35">
      <c r="A3" s="42" t="s">
        <v>147</v>
      </c>
      <c r="B3" s="42" t="s">
        <v>158</v>
      </c>
      <c r="C3" t="s">
        <v>192</v>
      </c>
      <c r="D3" s="9" t="s">
        <v>194</v>
      </c>
      <c r="E3" s="9" t="s">
        <v>195</v>
      </c>
      <c r="F3" s="9" t="s">
        <v>193</v>
      </c>
      <c r="G3" s="9" t="s">
        <v>196</v>
      </c>
    </row>
    <row r="4" spans="1:7" x14ac:dyDescent="0.35">
      <c r="A4" t="s">
        <v>134</v>
      </c>
      <c r="B4" s="117" t="s">
        <v>148</v>
      </c>
      <c r="C4">
        <v>90037310</v>
      </c>
      <c r="G4">
        <v>1</v>
      </c>
    </row>
    <row r="5" spans="1:7" x14ac:dyDescent="0.35">
      <c r="A5" t="s">
        <v>117</v>
      </c>
      <c r="B5" t="s">
        <v>149</v>
      </c>
      <c r="C5">
        <v>15119065</v>
      </c>
      <c r="G5">
        <v>3</v>
      </c>
    </row>
    <row r="6" spans="1:7" x14ac:dyDescent="0.35">
      <c r="A6" t="s">
        <v>87</v>
      </c>
      <c r="B6" t="s">
        <v>93</v>
      </c>
      <c r="C6" s="113"/>
      <c r="G6">
        <v>2</v>
      </c>
    </row>
    <row r="7" spans="1:7" x14ac:dyDescent="0.35">
      <c r="A7" t="s">
        <v>136</v>
      </c>
      <c r="B7" t="s">
        <v>150</v>
      </c>
      <c r="C7">
        <v>15119088</v>
      </c>
      <c r="G7">
        <v>3</v>
      </c>
    </row>
    <row r="8" spans="1:7" x14ac:dyDescent="0.35">
      <c r="A8" t="s">
        <v>138</v>
      </c>
      <c r="B8" t="s">
        <v>151</v>
      </c>
      <c r="C8" s="113"/>
      <c r="G8">
        <v>2</v>
      </c>
    </row>
    <row r="9" spans="1:7" x14ac:dyDescent="0.35">
      <c r="A9" t="s">
        <v>141</v>
      </c>
      <c r="B9" t="s">
        <v>152</v>
      </c>
      <c r="C9">
        <v>95636926</v>
      </c>
      <c r="G9">
        <v>4</v>
      </c>
    </row>
    <row r="10" spans="1:7" x14ac:dyDescent="0.35">
      <c r="A10" t="s">
        <v>142</v>
      </c>
      <c r="B10" t="s">
        <v>153</v>
      </c>
      <c r="C10">
        <v>21151042</v>
      </c>
      <c r="G10">
        <v>1</v>
      </c>
    </row>
    <row r="11" spans="1:7" x14ac:dyDescent="0.35">
      <c r="A11" t="s">
        <v>143</v>
      </c>
      <c r="B11" t="s">
        <v>154</v>
      </c>
      <c r="C11">
        <v>15119066</v>
      </c>
      <c r="G11">
        <v>4</v>
      </c>
    </row>
    <row r="12" spans="1:7" x14ac:dyDescent="0.35">
      <c r="A12" t="s">
        <v>144</v>
      </c>
      <c r="B12" t="s">
        <v>155</v>
      </c>
      <c r="G12">
        <v>4</v>
      </c>
    </row>
    <row r="13" spans="1:7" x14ac:dyDescent="0.35">
      <c r="A13" t="s">
        <v>145</v>
      </c>
      <c r="B13" t="s">
        <v>156</v>
      </c>
      <c r="C13">
        <v>15109119</v>
      </c>
      <c r="G13">
        <v>1</v>
      </c>
    </row>
    <row r="14" spans="1:7" x14ac:dyDescent="0.35">
      <c r="A14" t="s">
        <v>146</v>
      </c>
      <c r="B14" t="s">
        <v>157</v>
      </c>
      <c r="C14">
        <v>15104499</v>
      </c>
      <c r="G14">
        <v>1</v>
      </c>
    </row>
    <row r="15" spans="1:7" x14ac:dyDescent="0.35">
      <c r="A15" t="s">
        <v>159</v>
      </c>
      <c r="B15" s="117" t="s">
        <v>197</v>
      </c>
      <c r="C15">
        <v>90574821</v>
      </c>
      <c r="G15">
        <v>1</v>
      </c>
    </row>
    <row r="16" spans="1:7" x14ac:dyDescent="0.35">
      <c r="A16" t="s">
        <v>198</v>
      </c>
      <c r="B16" s="117" t="s">
        <v>199</v>
      </c>
      <c r="C16">
        <v>90392894</v>
      </c>
      <c r="G16">
        <v>4</v>
      </c>
    </row>
    <row r="17" spans="1:6" x14ac:dyDescent="0.35">
      <c r="A17" t="s">
        <v>228</v>
      </c>
      <c r="B17" s="117" t="s">
        <v>148</v>
      </c>
      <c r="C17">
        <v>90037310</v>
      </c>
    </row>
    <row r="18" spans="1:6" x14ac:dyDescent="0.35">
      <c r="A18" t="s">
        <v>262</v>
      </c>
      <c r="B18" s="117" t="s">
        <v>263</v>
      </c>
    </row>
    <row r="19" spans="1:6" x14ac:dyDescent="0.35">
      <c r="A19" t="s">
        <v>234</v>
      </c>
    </row>
    <row r="20" spans="1:6" x14ac:dyDescent="0.35">
      <c r="A20" t="s">
        <v>267</v>
      </c>
    </row>
    <row r="21" spans="1:6" x14ac:dyDescent="0.35">
      <c r="D21">
        <v>10</v>
      </c>
      <c r="E21" t="s">
        <v>166</v>
      </c>
      <c r="F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15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16" sqref="D16"/>
    </sheetView>
  </sheetViews>
  <sheetFormatPr defaultRowHeight="14.5" x14ac:dyDescent="0.35"/>
  <cols>
    <col min="1" max="1" width="20.1796875" bestFit="1" customWidth="1"/>
    <col min="2" max="2" width="28" bestFit="1" customWidth="1"/>
    <col min="3" max="3" width="10.81640625" customWidth="1"/>
    <col min="4" max="4" width="19.7265625" bestFit="1" customWidth="1"/>
    <col min="5" max="5" width="17.81640625" style="3" bestFit="1" customWidth="1"/>
    <col min="6" max="10" width="17.81640625" style="3" customWidth="1"/>
    <col min="11" max="11" width="17.81640625" style="3" bestFit="1" customWidth="1"/>
    <col min="12" max="12" width="17" style="3" bestFit="1" customWidth="1"/>
    <col min="13" max="13" width="14" style="3" bestFit="1" customWidth="1"/>
    <col min="14" max="14" width="14.54296875" style="3" bestFit="1" customWidth="1"/>
    <col min="15" max="15" width="14" style="3" bestFit="1" customWidth="1"/>
    <col min="16" max="16" width="15.1796875" style="4" bestFit="1" customWidth="1"/>
    <col min="17" max="17" width="16.54296875" style="3" bestFit="1" customWidth="1"/>
    <col min="18" max="18" width="18.26953125" style="3" bestFit="1" customWidth="1"/>
    <col min="19" max="19" width="16.54296875" style="3" bestFit="1" customWidth="1"/>
    <col min="20" max="20" width="16.81640625" style="3" bestFit="1" customWidth="1"/>
    <col min="21" max="21" width="14.54296875" style="3" customWidth="1"/>
    <col min="22" max="22" width="14.1796875" style="3" bestFit="1" customWidth="1"/>
    <col min="23" max="23" width="14.54296875" style="3" bestFit="1" customWidth="1"/>
  </cols>
  <sheetData>
    <row r="1" spans="1:23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</row>
    <row r="2" spans="1:23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</row>
    <row r="3" spans="1:23" x14ac:dyDescent="0.35">
      <c r="A3" t="s">
        <v>23</v>
      </c>
      <c r="B3" t="s">
        <v>128</v>
      </c>
      <c r="C3" s="118" t="s">
        <v>200</v>
      </c>
      <c r="D3">
        <v>10047885</v>
      </c>
      <c r="E3" s="81">
        <v>360.8</v>
      </c>
      <c r="F3" s="81">
        <v>4.3220000000000001</v>
      </c>
      <c r="G3" s="6">
        <v>1.01</v>
      </c>
      <c r="H3" s="6">
        <v>0.16600000000000001</v>
      </c>
      <c r="I3" s="6">
        <v>0</v>
      </c>
      <c r="J3" s="5">
        <v>0</v>
      </c>
      <c r="K3" s="6">
        <v>87</v>
      </c>
      <c r="L3" s="6">
        <v>83.8</v>
      </c>
      <c r="M3" s="6">
        <v>70.5</v>
      </c>
      <c r="N3" s="6">
        <v>0.1</v>
      </c>
      <c r="O3" s="6">
        <v>0</v>
      </c>
      <c r="P3" s="5">
        <v>7.8</v>
      </c>
      <c r="Q3" s="5">
        <v>847</v>
      </c>
      <c r="R3" s="5">
        <v>70.349999999999994</v>
      </c>
      <c r="S3" s="5">
        <v>175.17</v>
      </c>
      <c r="T3" s="8">
        <v>0</v>
      </c>
      <c r="U3" s="5">
        <v>0</v>
      </c>
      <c r="V3" s="7"/>
      <c r="W3" s="6">
        <v>2.101</v>
      </c>
    </row>
    <row r="4" spans="1:23" x14ac:dyDescent="0.35">
      <c r="A4" t="s">
        <v>24</v>
      </c>
      <c r="B4" t="s">
        <v>25</v>
      </c>
      <c r="C4" s="119" t="s">
        <v>201</v>
      </c>
      <c r="D4" s="41" t="s">
        <v>70</v>
      </c>
      <c r="E4" s="81">
        <v>378</v>
      </c>
      <c r="F4" s="81">
        <v>0</v>
      </c>
      <c r="G4" s="6">
        <v>0</v>
      </c>
      <c r="H4" s="6">
        <v>0</v>
      </c>
      <c r="I4" s="6">
        <v>0</v>
      </c>
      <c r="J4" s="5">
        <v>0</v>
      </c>
      <c r="K4" s="6">
        <v>94.2</v>
      </c>
      <c r="L4" s="6">
        <v>0</v>
      </c>
      <c r="M4" s="6">
        <v>0</v>
      </c>
      <c r="N4" s="6">
        <v>3.5</v>
      </c>
      <c r="O4" s="6"/>
      <c r="P4" s="5">
        <v>0.5</v>
      </c>
      <c r="Q4" s="5"/>
      <c r="R4" s="5">
        <v>150</v>
      </c>
      <c r="S4" s="5">
        <v>10</v>
      </c>
      <c r="T4" s="8">
        <v>0</v>
      </c>
      <c r="U4" s="5">
        <v>0</v>
      </c>
      <c r="V4" s="7"/>
      <c r="W4" s="6">
        <v>0.3</v>
      </c>
    </row>
    <row r="5" spans="1:23" x14ac:dyDescent="0.35">
      <c r="A5" t="s">
        <v>26</v>
      </c>
      <c r="C5" s="118" t="s">
        <v>202</v>
      </c>
      <c r="D5" s="41">
        <v>10045074</v>
      </c>
      <c r="E5" s="81">
        <v>247</v>
      </c>
      <c r="F5" s="81">
        <v>0</v>
      </c>
      <c r="G5" s="6">
        <v>0</v>
      </c>
      <c r="H5" s="6">
        <v>0</v>
      </c>
      <c r="I5" s="6">
        <v>0</v>
      </c>
      <c r="J5" s="5">
        <v>0</v>
      </c>
      <c r="K5" s="6">
        <v>99.45</v>
      </c>
      <c r="L5" s="6">
        <v>0</v>
      </c>
      <c r="M5" s="6">
        <v>0</v>
      </c>
      <c r="N5" s="6"/>
      <c r="O5" s="6"/>
      <c r="P5" s="5">
        <v>0</v>
      </c>
      <c r="Q5" s="5">
        <v>0.3</v>
      </c>
      <c r="R5" s="5">
        <v>0.3</v>
      </c>
      <c r="S5" s="5">
        <v>0.2</v>
      </c>
      <c r="T5" s="8">
        <v>0</v>
      </c>
      <c r="U5" s="5">
        <v>0</v>
      </c>
      <c r="V5" s="7">
        <v>0</v>
      </c>
      <c r="W5" s="6">
        <v>0</v>
      </c>
    </row>
    <row r="6" spans="1:23" x14ac:dyDescent="0.35">
      <c r="A6" t="s">
        <v>27</v>
      </c>
      <c r="B6" t="s">
        <v>28</v>
      </c>
      <c r="C6" s="118" t="s">
        <v>203</v>
      </c>
      <c r="D6" s="41">
        <v>91400073</v>
      </c>
      <c r="E6" s="81">
        <v>0</v>
      </c>
      <c r="F6" s="81">
        <v>0</v>
      </c>
      <c r="G6" s="6">
        <v>0</v>
      </c>
      <c r="H6" s="6">
        <v>0</v>
      </c>
      <c r="I6" s="6">
        <v>0</v>
      </c>
      <c r="J6" s="5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5">
        <v>1.6</v>
      </c>
      <c r="Q6" s="5">
        <v>4</v>
      </c>
      <c r="R6" s="5">
        <v>15</v>
      </c>
      <c r="S6" s="5"/>
      <c r="T6" s="8"/>
      <c r="U6" s="5"/>
      <c r="V6" s="7"/>
      <c r="W6" s="6">
        <v>0</v>
      </c>
    </row>
    <row r="7" spans="1:23" ht="43.5" x14ac:dyDescent="0.35">
      <c r="A7" t="s">
        <v>71</v>
      </c>
      <c r="B7" s="9" t="s">
        <v>29</v>
      </c>
      <c r="C7" t="s">
        <v>241</v>
      </c>
      <c r="D7" s="41">
        <v>91819530</v>
      </c>
      <c r="E7" s="81">
        <v>380</v>
      </c>
      <c r="F7" s="81">
        <v>0</v>
      </c>
      <c r="G7" s="3">
        <v>0</v>
      </c>
      <c r="H7" s="3">
        <v>0</v>
      </c>
      <c r="I7" s="3">
        <v>0</v>
      </c>
      <c r="J7" s="5">
        <v>0</v>
      </c>
      <c r="K7" s="3">
        <v>95</v>
      </c>
      <c r="L7" s="3">
        <v>0</v>
      </c>
      <c r="M7" s="3">
        <v>0</v>
      </c>
      <c r="N7" s="3">
        <v>29</v>
      </c>
      <c r="O7" s="3">
        <v>27</v>
      </c>
      <c r="P7" s="4">
        <v>0</v>
      </c>
      <c r="Q7" s="3">
        <v>0</v>
      </c>
      <c r="R7" s="3">
        <v>50</v>
      </c>
      <c r="S7" s="3">
        <v>10</v>
      </c>
      <c r="T7" s="3">
        <v>0</v>
      </c>
      <c r="U7" s="3">
        <v>0</v>
      </c>
      <c r="V7" s="3">
        <v>0</v>
      </c>
      <c r="W7" s="6">
        <v>0</v>
      </c>
    </row>
    <row r="8" spans="1:23" x14ac:dyDescent="0.35">
      <c r="A8" t="s">
        <v>30</v>
      </c>
      <c r="B8" t="s">
        <v>31</v>
      </c>
      <c r="C8" t="s">
        <v>242</v>
      </c>
      <c r="D8" s="41">
        <v>91564541</v>
      </c>
      <c r="E8" s="81">
        <v>494.76</v>
      </c>
      <c r="F8" s="81">
        <v>192.6</v>
      </c>
      <c r="G8" s="6">
        <v>21.4</v>
      </c>
      <c r="H8" s="6">
        <v>3.79</v>
      </c>
      <c r="I8" s="6">
        <v>0</v>
      </c>
      <c r="J8" s="5">
        <v>0</v>
      </c>
      <c r="K8" s="6">
        <v>75.31</v>
      </c>
      <c r="L8" s="6">
        <v>0</v>
      </c>
      <c r="M8" s="6">
        <v>0</v>
      </c>
      <c r="N8" s="6">
        <v>32.049999999999997</v>
      </c>
      <c r="O8" s="6">
        <v>32.049999999999997</v>
      </c>
      <c r="P8" s="5">
        <v>0</v>
      </c>
      <c r="Q8" s="5">
        <v>2.75</v>
      </c>
      <c r="R8" s="5">
        <v>0.18</v>
      </c>
      <c r="S8" s="5">
        <v>0</v>
      </c>
      <c r="T8" s="8">
        <v>1859.04</v>
      </c>
      <c r="U8" s="5">
        <v>0.62</v>
      </c>
      <c r="V8" s="7">
        <v>0</v>
      </c>
      <c r="W8" s="6">
        <v>0</v>
      </c>
    </row>
    <row r="9" spans="1:23" x14ac:dyDescent="0.35">
      <c r="A9" t="s">
        <v>32</v>
      </c>
      <c r="B9" t="s">
        <v>33</v>
      </c>
      <c r="C9" t="s">
        <v>243</v>
      </c>
      <c r="D9" s="41">
        <v>91564539</v>
      </c>
      <c r="E9" s="81">
        <v>320.68</v>
      </c>
      <c r="F9" s="81">
        <v>0.36</v>
      </c>
      <c r="G9" s="3">
        <v>0.04</v>
      </c>
      <c r="H9" s="3">
        <v>0.02</v>
      </c>
      <c r="I9" s="3">
        <v>0</v>
      </c>
      <c r="J9" s="5">
        <v>0</v>
      </c>
      <c r="K9" s="6">
        <v>79.97</v>
      </c>
      <c r="L9" s="6">
        <v>0</v>
      </c>
      <c r="M9" s="6">
        <v>0</v>
      </c>
      <c r="N9" s="6">
        <v>17.05</v>
      </c>
      <c r="O9" s="6">
        <v>17.05</v>
      </c>
      <c r="P9" s="5">
        <v>0.09</v>
      </c>
      <c r="Q9" s="5">
        <v>29.15</v>
      </c>
      <c r="R9" s="5">
        <v>79.930000000000007</v>
      </c>
      <c r="S9" s="5">
        <v>8.0399999999999991</v>
      </c>
      <c r="T9" s="8">
        <v>0</v>
      </c>
      <c r="U9" s="5">
        <v>0</v>
      </c>
      <c r="V9" s="7">
        <v>0</v>
      </c>
      <c r="W9" s="6">
        <v>0</v>
      </c>
    </row>
    <row r="10" spans="1:23" x14ac:dyDescent="0.35">
      <c r="A10" t="s">
        <v>72</v>
      </c>
      <c r="B10" t="s">
        <v>108</v>
      </c>
      <c r="C10" s="113"/>
      <c r="D10" s="41">
        <v>90574833</v>
      </c>
      <c r="E10" s="81">
        <v>390</v>
      </c>
      <c r="F10" s="81">
        <v>0</v>
      </c>
      <c r="G10" s="6">
        <v>0</v>
      </c>
      <c r="H10" s="6">
        <v>0</v>
      </c>
      <c r="I10" s="6">
        <v>0</v>
      </c>
      <c r="J10" s="5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5">
        <v>3</v>
      </c>
      <c r="Q10" s="5">
        <v>410</v>
      </c>
      <c r="R10" s="5">
        <v>240</v>
      </c>
      <c r="S10" s="5">
        <v>50</v>
      </c>
      <c r="T10" s="8">
        <v>0</v>
      </c>
      <c r="U10" s="5">
        <v>0</v>
      </c>
      <c r="V10" s="7">
        <v>0</v>
      </c>
      <c r="W10" s="6">
        <v>94</v>
      </c>
    </row>
    <row r="11" spans="1:23" x14ac:dyDescent="0.35">
      <c r="A11" t="s">
        <v>75</v>
      </c>
      <c r="B11" t="s">
        <v>105</v>
      </c>
      <c r="C11" s="119" t="s">
        <v>204</v>
      </c>
      <c r="D11" s="41">
        <v>10045031</v>
      </c>
      <c r="E11" s="81">
        <v>381</v>
      </c>
      <c r="F11" s="81">
        <v>0</v>
      </c>
      <c r="G11" s="6">
        <v>0</v>
      </c>
      <c r="H11" s="6">
        <v>0</v>
      </c>
      <c r="I11" s="6">
        <v>0</v>
      </c>
      <c r="J11" s="5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5">
        <v>0</v>
      </c>
      <c r="Q11" s="5">
        <v>10</v>
      </c>
      <c r="R11" s="5">
        <v>30</v>
      </c>
      <c r="S11" s="5">
        <v>2</v>
      </c>
      <c r="T11" s="8">
        <v>0</v>
      </c>
      <c r="U11" s="5">
        <v>0</v>
      </c>
      <c r="V11" s="7">
        <v>0</v>
      </c>
      <c r="W11" s="6">
        <v>95.3</v>
      </c>
    </row>
    <row r="12" spans="1:23" x14ac:dyDescent="0.35">
      <c r="A12" t="s">
        <v>240</v>
      </c>
      <c r="B12" t="s">
        <v>107</v>
      </c>
      <c r="C12" s="113"/>
      <c r="D12" s="41" t="s">
        <v>77</v>
      </c>
      <c r="E12" s="81">
        <v>387</v>
      </c>
      <c r="F12" s="81"/>
      <c r="G12" s="6">
        <v>0</v>
      </c>
      <c r="H12" s="6">
        <v>0</v>
      </c>
      <c r="I12" s="6">
        <v>0</v>
      </c>
      <c r="J12" s="5">
        <v>0</v>
      </c>
      <c r="K12" s="6">
        <v>99.8</v>
      </c>
      <c r="L12" s="6">
        <v>0</v>
      </c>
      <c r="M12" s="6">
        <v>0</v>
      </c>
      <c r="N12" s="6">
        <v>99.8</v>
      </c>
      <c r="O12" s="6">
        <v>99.8</v>
      </c>
      <c r="P12" s="5">
        <v>0.05</v>
      </c>
      <c r="Q12" s="5">
        <v>2</v>
      </c>
      <c r="R12" s="5">
        <v>1</v>
      </c>
      <c r="S12" s="5">
        <v>1</v>
      </c>
      <c r="T12" s="8">
        <v>0</v>
      </c>
      <c r="U12" s="5">
        <v>0</v>
      </c>
      <c r="V12" s="7">
        <v>0</v>
      </c>
      <c r="W12" s="6">
        <v>0</v>
      </c>
    </row>
    <row r="13" spans="1:23" ht="29" x14ac:dyDescent="0.35">
      <c r="A13" t="s">
        <v>78</v>
      </c>
      <c r="B13" s="9" t="s">
        <v>109</v>
      </c>
      <c r="C13" t="s">
        <v>241</v>
      </c>
      <c r="D13" s="41">
        <v>10055913</v>
      </c>
      <c r="E13" s="81">
        <v>303</v>
      </c>
      <c r="F13" s="81">
        <v>0</v>
      </c>
      <c r="G13" s="6">
        <v>0</v>
      </c>
      <c r="H13" s="6">
        <v>0</v>
      </c>
      <c r="I13" s="6">
        <v>0</v>
      </c>
      <c r="J13" s="5">
        <v>0</v>
      </c>
      <c r="K13" s="6">
        <v>75</v>
      </c>
      <c r="L13" s="6">
        <v>0</v>
      </c>
      <c r="M13" s="6">
        <v>0</v>
      </c>
      <c r="N13" s="6">
        <v>0</v>
      </c>
      <c r="O13" s="6">
        <v>0</v>
      </c>
      <c r="P13" s="5">
        <v>0</v>
      </c>
      <c r="Q13" s="5">
        <v>0</v>
      </c>
      <c r="R13" s="5">
        <v>160</v>
      </c>
      <c r="S13" s="5">
        <v>0</v>
      </c>
      <c r="T13" s="8">
        <v>0</v>
      </c>
      <c r="U13" s="5">
        <v>0</v>
      </c>
      <c r="V13" s="7">
        <v>0</v>
      </c>
      <c r="W13" s="6">
        <v>0</v>
      </c>
    </row>
    <row r="14" spans="1:23" ht="29" x14ac:dyDescent="0.35">
      <c r="A14" t="s">
        <v>80</v>
      </c>
      <c r="B14" s="9" t="s">
        <v>109</v>
      </c>
      <c r="C14" t="s">
        <v>241</v>
      </c>
      <c r="D14" s="41" t="s">
        <v>81</v>
      </c>
      <c r="E14" s="81">
        <v>334</v>
      </c>
      <c r="F14" s="81">
        <v>0</v>
      </c>
      <c r="G14" s="6">
        <v>0</v>
      </c>
      <c r="H14" s="6">
        <v>0</v>
      </c>
      <c r="I14" s="6">
        <v>0</v>
      </c>
      <c r="J14" s="5">
        <v>0</v>
      </c>
      <c r="K14" s="6">
        <v>83.8</v>
      </c>
      <c r="L14" s="6">
        <v>0.2</v>
      </c>
      <c r="M14" s="6">
        <v>0</v>
      </c>
      <c r="N14" s="6">
        <v>2.9</v>
      </c>
      <c r="O14" s="6">
        <v>0</v>
      </c>
      <c r="P14" s="5">
        <v>0</v>
      </c>
      <c r="Q14" s="5">
        <v>8</v>
      </c>
      <c r="R14" s="5">
        <v>96</v>
      </c>
      <c r="S14" s="5">
        <v>2</v>
      </c>
      <c r="T14" s="8">
        <v>0</v>
      </c>
      <c r="U14" s="5">
        <v>0</v>
      </c>
      <c r="V14" s="7">
        <v>0</v>
      </c>
      <c r="W14" s="6">
        <v>0.3</v>
      </c>
    </row>
    <row r="15" spans="1:23" x14ac:dyDescent="0.35">
      <c r="A15" t="s">
        <v>84</v>
      </c>
      <c r="B15" t="s">
        <v>110</v>
      </c>
      <c r="C15" s="119" t="s">
        <v>205</v>
      </c>
      <c r="D15" s="41">
        <v>10045737</v>
      </c>
      <c r="E15" s="81">
        <v>0</v>
      </c>
      <c r="F15" s="81">
        <v>0</v>
      </c>
      <c r="G15" s="6">
        <v>0</v>
      </c>
      <c r="H15" s="6">
        <v>0</v>
      </c>
      <c r="I15" s="6">
        <v>0</v>
      </c>
      <c r="J15" s="5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5">
        <v>0</v>
      </c>
      <c r="Q15" s="5">
        <v>0</v>
      </c>
      <c r="R15" s="5">
        <v>3300</v>
      </c>
      <c r="S15" s="5">
        <v>0</v>
      </c>
      <c r="T15" s="8">
        <v>0</v>
      </c>
      <c r="U15" s="5">
        <v>0</v>
      </c>
      <c r="V15" s="7">
        <v>0</v>
      </c>
      <c r="W15" s="6">
        <v>0</v>
      </c>
    </row>
    <row r="16" spans="1:23" x14ac:dyDescent="0.35">
      <c r="A16" t="s">
        <v>225</v>
      </c>
      <c r="B16" t="s">
        <v>226</v>
      </c>
      <c r="C16" s="119"/>
      <c r="D16" s="41">
        <v>21346854</v>
      </c>
      <c r="E16" s="81">
        <v>380</v>
      </c>
      <c r="F16" s="81">
        <v>0</v>
      </c>
      <c r="G16" s="6">
        <v>0</v>
      </c>
      <c r="H16" s="6">
        <v>0</v>
      </c>
      <c r="I16" s="6">
        <v>0</v>
      </c>
      <c r="J16" s="5">
        <v>0</v>
      </c>
      <c r="K16" s="6">
        <v>96</v>
      </c>
      <c r="L16" s="6">
        <v>0</v>
      </c>
      <c r="M16" s="6">
        <v>0</v>
      </c>
      <c r="N16" s="6">
        <v>28</v>
      </c>
      <c r="O16" s="6">
        <v>28</v>
      </c>
      <c r="P16" s="5">
        <v>0</v>
      </c>
      <c r="Q16" s="5">
        <v>0</v>
      </c>
      <c r="R16" s="5">
        <v>55</v>
      </c>
      <c r="S16" s="5">
        <v>10</v>
      </c>
      <c r="T16" s="8">
        <v>0</v>
      </c>
      <c r="U16" s="5">
        <v>0</v>
      </c>
      <c r="V16" s="7">
        <v>0</v>
      </c>
      <c r="W16" s="6">
        <v>0</v>
      </c>
    </row>
    <row r="17" spans="1:23" x14ac:dyDescent="0.35">
      <c r="A17" t="s">
        <v>257</v>
      </c>
      <c r="B17" t="s">
        <v>258</v>
      </c>
      <c r="C17" s="119"/>
      <c r="D17" s="41">
        <v>21625430</v>
      </c>
      <c r="E17" s="81">
        <v>309</v>
      </c>
      <c r="F17" s="81"/>
      <c r="G17" s="6">
        <v>0.39</v>
      </c>
      <c r="H17" s="6">
        <v>0.12</v>
      </c>
      <c r="I17" s="6">
        <v>0.02</v>
      </c>
      <c r="J17" s="5">
        <v>0</v>
      </c>
      <c r="K17" s="6">
        <v>0.35</v>
      </c>
      <c r="L17" s="6">
        <v>94</v>
      </c>
      <c r="M17" s="6"/>
      <c r="N17" s="6">
        <v>0.35</v>
      </c>
      <c r="O17" s="6"/>
      <c r="P17" s="5">
        <v>1</v>
      </c>
      <c r="Q17" s="5">
        <v>122</v>
      </c>
      <c r="R17" s="5">
        <v>190</v>
      </c>
      <c r="S17" s="5">
        <v>3</v>
      </c>
      <c r="T17" s="8">
        <v>0</v>
      </c>
      <c r="U17" s="5">
        <v>0</v>
      </c>
      <c r="V17" s="7">
        <v>0</v>
      </c>
      <c r="W17" s="6">
        <v>0.28999999999999998</v>
      </c>
    </row>
    <row r="18" spans="1:23" s="55" customFormat="1" x14ac:dyDescent="0.35">
      <c r="A18" s="54" t="s">
        <v>106</v>
      </c>
      <c r="B18" s="55" t="s">
        <v>227</v>
      </c>
      <c r="D18" s="56"/>
      <c r="E18" s="82"/>
      <c r="F18" s="82"/>
      <c r="G18" s="57"/>
      <c r="H18" s="57"/>
      <c r="I18" s="57"/>
      <c r="J18" s="58"/>
      <c r="K18" s="57"/>
      <c r="L18" s="57"/>
      <c r="M18" s="57"/>
      <c r="N18" s="57"/>
      <c r="O18" s="57"/>
      <c r="P18" s="58"/>
      <c r="Q18" s="58"/>
      <c r="R18" s="58"/>
      <c r="S18" s="58"/>
      <c r="T18" s="59"/>
      <c r="U18" s="58"/>
      <c r="V18" s="60"/>
      <c r="W18" s="57"/>
    </row>
    <row r="19" spans="1:23" x14ac:dyDescent="0.35">
      <c r="A19" t="s">
        <v>73</v>
      </c>
      <c r="B19" t="s">
        <v>111</v>
      </c>
      <c r="D19" s="41">
        <v>91537550</v>
      </c>
      <c r="E19" s="81">
        <v>0</v>
      </c>
      <c r="F19" s="81">
        <v>0</v>
      </c>
      <c r="G19" s="6">
        <v>0</v>
      </c>
      <c r="H19" s="6">
        <v>0</v>
      </c>
      <c r="I19" s="6">
        <v>0</v>
      </c>
      <c r="J19" s="5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5">
        <v>0.15</v>
      </c>
      <c r="Q19" s="5">
        <v>0.7</v>
      </c>
      <c r="R19" s="5">
        <v>27375</v>
      </c>
      <c r="S19" s="5">
        <v>10</v>
      </c>
      <c r="T19" s="8">
        <v>0</v>
      </c>
      <c r="U19" s="5">
        <v>0</v>
      </c>
      <c r="V19" s="7">
        <v>0</v>
      </c>
      <c r="W19" s="6">
        <v>0</v>
      </c>
    </row>
    <row r="20" spans="1:23" x14ac:dyDescent="0.35">
      <c r="A20" t="s">
        <v>74</v>
      </c>
      <c r="D20" s="41">
        <v>10032129</v>
      </c>
      <c r="E20" s="81"/>
      <c r="F20" s="81"/>
      <c r="G20" s="6"/>
      <c r="H20" s="6"/>
      <c r="I20" s="6"/>
      <c r="J20" s="6"/>
      <c r="K20" s="6"/>
      <c r="L20" s="6"/>
      <c r="M20" s="6"/>
      <c r="N20" s="6"/>
      <c r="O20" s="6"/>
      <c r="P20" s="5"/>
      <c r="Q20" s="5"/>
      <c r="R20" s="5"/>
      <c r="S20" s="5"/>
      <c r="T20" s="8"/>
      <c r="U20" s="5"/>
      <c r="V20" s="7"/>
      <c r="W20" s="6"/>
    </row>
    <row r="21" spans="1:23" x14ac:dyDescent="0.35">
      <c r="A21" t="s">
        <v>76</v>
      </c>
      <c r="D21" s="41">
        <v>95088002</v>
      </c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</row>
    <row r="22" spans="1:23" x14ac:dyDescent="0.35">
      <c r="A22" t="s">
        <v>79</v>
      </c>
      <c r="D22" s="41">
        <v>95638082</v>
      </c>
      <c r="E22" s="81"/>
      <c r="F22" s="81"/>
      <c r="G22" s="6"/>
      <c r="H22" s="6"/>
      <c r="I22" s="6"/>
      <c r="J22" s="6"/>
      <c r="K22" s="6"/>
      <c r="L22" s="6"/>
      <c r="M22" s="6"/>
      <c r="N22" s="6"/>
      <c r="O22" s="6"/>
      <c r="P22" s="5"/>
      <c r="Q22" s="5"/>
      <c r="R22" s="5"/>
      <c r="S22" s="5"/>
      <c r="T22" s="8"/>
      <c r="U22" s="5"/>
      <c r="V22" s="7"/>
      <c r="W22" s="6"/>
    </row>
    <row r="23" spans="1:23" x14ac:dyDescent="0.35">
      <c r="A23" t="s">
        <v>82</v>
      </c>
      <c r="D23" s="41">
        <v>95869373</v>
      </c>
      <c r="E23" s="81"/>
      <c r="F23" s="81"/>
      <c r="G23" s="6"/>
      <c r="H23" s="6"/>
      <c r="I23" s="6"/>
      <c r="J23" s="6"/>
      <c r="K23" s="6"/>
      <c r="L23" s="6"/>
      <c r="M23" s="6"/>
      <c r="N23" s="6"/>
      <c r="O23" s="6"/>
      <c r="P23" s="5"/>
      <c r="Q23" s="5"/>
      <c r="R23" s="5"/>
      <c r="S23" s="5"/>
      <c r="T23" s="8"/>
      <c r="U23" s="5"/>
      <c r="V23" s="7"/>
      <c r="W23" s="6"/>
    </row>
    <row r="24" spans="1:23" x14ac:dyDescent="0.35">
      <c r="A24" t="s">
        <v>83</v>
      </c>
      <c r="D24" s="41">
        <v>90402389</v>
      </c>
      <c r="E24" s="81"/>
      <c r="F24" s="81"/>
      <c r="G24" s="6"/>
      <c r="H24" s="6"/>
      <c r="I24" s="6"/>
      <c r="J24" s="6"/>
      <c r="K24" s="6"/>
      <c r="L24" s="6"/>
      <c r="M24" s="6"/>
      <c r="N24" s="6"/>
      <c r="O24" s="6"/>
      <c r="P24" s="5"/>
      <c r="Q24" s="5"/>
      <c r="R24" s="5"/>
      <c r="S24" s="5"/>
      <c r="T24" s="8"/>
      <c r="U24" s="5"/>
      <c r="V24" s="7"/>
      <c r="W24" s="6"/>
    </row>
    <row r="25" spans="1:23" x14ac:dyDescent="0.35">
      <c r="A25" t="s">
        <v>85</v>
      </c>
      <c r="D25" s="41">
        <v>10032185</v>
      </c>
      <c r="E25" s="81"/>
      <c r="F25" s="81"/>
      <c r="G25" s="6"/>
      <c r="H25" s="6"/>
      <c r="I25" s="6"/>
      <c r="J25" s="6"/>
      <c r="K25" s="6"/>
      <c r="L25" s="6"/>
      <c r="M25" s="6"/>
      <c r="N25" s="6"/>
      <c r="O25" s="6"/>
      <c r="P25" s="5"/>
      <c r="Q25" s="5"/>
      <c r="R25" s="5"/>
      <c r="S25" s="5"/>
      <c r="T25" s="8"/>
      <c r="U25" s="5"/>
      <c r="V25" s="7"/>
      <c r="W25" s="6"/>
    </row>
    <row r="26" spans="1:23" x14ac:dyDescent="0.35">
      <c r="A26" t="s">
        <v>86</v>
      </c>
      <c r="D26" s="41">
        <v>10045748</v>
      </c>
      <c r="E26" s="81"/>
      <c r="F26" s="81"/>
      <c r="G26" s="6"/>
      <c r="H26" s="6"/>
      <c r="I26" s="6"/>
      <c r="J26" s="6"/>
      <c r="K26" s="6"/>
      <c r="L26" s="6"/>
      <c r="M26" s="6"/>
      <c r="N26" s="6"/>
      <c r="O26" s="6"/>
      <c r="P26" s="5"/>
      <c r="Q26" s="5"/>
      <c r="R26" s="5"/>
      <c r="S26" s="5"/>
      <c r="T26" s="8"/>
      <c r="U26" s="5"/>
      <c r="V26" s="7"/>
      <c r="W26" s="6"/>
    </row>
    <row r="27" spans="1:23" x14ac:dyDescent="0.35"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5"/>
      <c r="Q27" s="5"/>
      <c r="R27" s="5"/>
      <c r="S27" s="5"/>
      <c r="T27" s="8"/>
      <c r="U27" s="5"/>
      <c r="V27" s="7"/>
      <c r="W27" s="6"/>
    </row>
    <row r="28" spans="1:23" x14ac:dyDescent="0.35">
      <c r="E28" s="6"/>
      <c r="F28" s="6"/>
      <c r="G28" s="6"/>
      <c r="H28" s="6"/>
      <c r="I28" s="6"/>
      <c r="J28" s="6"/>
      <c r="K28" s="6"/>
      <c r="L28" s="6">
        <f>5*0.84</f>
        <v>4.2</v>
      </c>
      <c r="M28" s="6"/>
      <c r="N28" s="6"/>
      <c r="O28" s="6"/>
      <c r="P28" s="5"/>
      <c r="Q28" s="5"/>
      <c r="R28" s="5"/>
      <c r="S28" s="5"/>
      <c r="T28" s="8"/>
      <c r="U28" s="5"/>
      <c r="V28" s="7"/>
      <c r="W28" s="6"/>
    </row>
    <row r="29" spans="1:23" x14ac:dyDescent="0.35">
      <c r="C29" t="s">
        <v>244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5"/>
      <c r="Q29" s="5"/>
      <c r="R29" s="5"/>
      <c r="S29" s="5"/>
      <c r="T29" s="8"/>
      <c r="U29" s="5"/>
      <c r="V29" s="7"/>
      <c r="W29" s="6"/>
    </row>
    <row r="30" spans="1:23" x14ac:dyDescent="0.35">
      <c r="E30" s="6"/>
      <c r="F30" s="6"/>
      <c r="G30" s="6"/>
      <c r="H30" s="6"/>
      <c r="I30" s="6"/>
      <c r="J30" s="6"/>
      <c r="K30" s="6"/>
      <c r="L30" s="6"/>
      <c r="N30" s="6"/>
      <c r="O30" s="6"/>
      <c r="P30" s="5"/>
      <c r="Q30" s="5" t="s">
        <v>261</v>
      </c>
      <c r="R30" s="5"/>
      <c r="S30" s="5"/>
      <c r="T30" s="8"/>
      <c r="U30" s="5"/>
      <c r="V30" s="7"/>
      <c r="W30" s="6"/>
    </row>
    <row r="31" spans="1:23" x14ac:dyDescent="0.35"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5"/>
      <c r="Q31" s="5"/>
      <c r="R31" s="5"/>
      <c r="S31" s="5"/>
      <c r="T31" s="8"/>
      <c r="U31" s="5"/>
      <c r="V31" s="7"/>
      <c r="W31" s="6"/>
    </row>
    <row r="32" spans="1:23" x14ac:dyDescent="0.35"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5"/>
      <c r="Q32" s="5"/>
      <c r="R32" s="5"/>
      <c r="S32" s="5"/>
      <c r="T32" s="8"/>
      <c r="U32" s="5"/>
      <c r="V32" s="7"/>
      <c r="W32" s="6"/>
    </row>
    <row r="33" spans="1:23" s="42" customFormat="1" x14ac:dyDescent="0.35">
      <c r="A33" s="42" t="s">
        <v>147</v>
      </c>
      <c r="B33" s="42" t="s">
        <v>158</v>
      </c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2"/>
      <c r="Q33" s="102"/>
      <c r="R33" s="102"/>
      <c r="S33" s="102"/>
      <c r="T33" s="103"/>
      <c r="U33" s="102"/>
      <c r="V33" s="104"/>
      <c r="W33" s="101"/>
    </row>
    <row r="34" spans="1:23" x14ac:dyDescent="0.35">
      <c r="A34" t="s">
        <v>134</v>
      </c>
      <c r="B34" t="s">
        <v>148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5"/>
      <c r="Q34" s="5"/>
      <c r="R34" s="5"/>
      <c r="S34" s="5"/>
      <c r="T34" s="8"/>
      <c r="U34" s="5"/>
      <c r="V34" s="7"/>
      <c r="W34" s="6"/>
    </row>
    <row r="35" spans="1:23" x14ac:dyDescent="0.35">
      <c r="A35" t="s">
        <v>117</v>
      </c>
      <c r="B35" t="s">
        <v>149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5"/>
      <c r="Q35" s="5"/>
      <c r="R35" s="5"/>
      <c r="S35" s="5"/>
      <c r="T35" s="8"/>
      <c r="U35" s="5"/>
      <c r="V35" s="7"/>
      <c r="W35" s="6"/>
    </row>
    <row r="36" spans="1:23" x14ac:dyDescent="0.35">
      <c r="A36" t="s">
        <v>87</v>
      </c>
      <c r="B36" t="s">
        <v>93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5"/>
      <c r="Q36" s="5"/>
      <c r="R36" s="5"/>
      <c r="S36" s="5"/>
      <c r="T36" s="8"/>
      <c r="U36" s="5"/>
      <c r="V36" s="7"/>
      <c r="W36" s="6"/>
    </row>
    <row r="37" spans="1:23" x14ac:dyDescent="0.35">
      <c r="A37" t="s">
        <v>136</v>
      </c>
      <c r="B37" t="s">
        <v>150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5"/>
      <c r="Q37" s="5"/>
      <c r="R37" s="5"/>
      <c r="S37" s="5"/>
      <c r="T37" s="8"/>
      <c r="U37" s="5"/>
      <c r="V37" s="7"/>
      <c r="W37" s="6"/>
    </row>
    <row r="38" spans="1:23" x14ac:dyDescent="0.35">
      <c r="A38" t="s">
        <v>138</v>
      </c>
      <c r="B38" t="s">
        <v>151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5"/>
      <c r="Q38" s="5"/>
      <c r="R38" s="5"/>
      <c r="S38" s="5"/>
      <c r="T38" s="8"/>
      <c r="U38" s="5"/>
      <c r="V38" s="7"/>
      <c r="W38" s="6"/>
    </row>
    <row r="39" spans="1:23" x14ac:dyDescent="0.35">
      <c r="A39" t="s">
        <v>141</v>
      </c>
      <c r="B39" t="s">
        <v>152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5"/>
      <c r="Q39" s="5"/>
      <c r="R39" s="5"/>
      <c r="S39" s="5"/>
      <c r="T39" s="8"/>
      <c r="U39" s="5"/>
      <c r="V39" s="7"/>
      <c r="W39" s="6"/>
    </row>
    <row r="40" spans="1:23" x14ac:dyDescent="0.35">
      <c r="A40" t="s">
        <v>142</v>
      </c>
      <c r="B40" t="s">
        <v>153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5"/>
      <c r="Q40" s="5"/>
      <c r="R40" s="5"/>
      <c r="S40" s="5"/>
      <c r="T40" s="8"/>
      <c r="U40" s="5"/>
      <c r="V40" s="7"/>
      <c r="W40" s="6"/>
    </row>
    <row r="41" spans="1:23" x14ac:dyDescent="0.35">
      <c r="A41" t="s">
        <v>143</v>
      </c>
      <c r="B41" t="s">
        <v>154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5"/>
      <c r="Q41" s="5"/>
      <c r="R41" s="5"/>
      <c r="S41" s="5"/>
      <c r="T41" s="8"/>
      <c r="U41" s="5"/>
      <c r="V41" s="7"/>
      <c r="W41" s="6"/>
    </row>
    <row r="42" spans="1:23" x14ac:dyDescent="0.35">
      <c r="A42" t="s">
        <v>144</v>
      </c>
      <c r="B42" t="s">
        <v>155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5"/>
      <c r="Q42" s="5"/>
      <c r="R42" s="5"/>
      <c r="S42" s="5"/>
      <c r="T42" s="8"/>
      <c r="U42" s="5"/>
      <c r="V42" s="7"/>
      <c r="W42" s="6"/>
    </row>
    <row r="43" spans="1:23" x14ac:dyDescent="0.35">
      <c r="A43" t="s">
        <v>145</v>
      </c>
      <c r="B43" t="s">
        <v>156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5"/>
      <c r="Q43" s="5"/>
      <c r="R43" s="5"/>
      <c r="S43" s="5"/>
      <c r="T43" s="8"/>
      <c r="U43" s="5"/>
      <c r="V43" s="7"/>
      <c r="W43" s="6"/>
    </row>
    <row r="44" spans="1:23" x14ac:dyDescent="0.35">
      <c r="A44" t="s">
        <v>146</v>
      </c>
      <c r="B44" t="s">
        <v>157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5"/>
      <c r="Q44" s="5"/>
      <c r="R44" s="5"/>
      <c r="S44" s="5"/>
      <c r="T44" s="8"/>
      <c r="U44" s="5"/>
      <c r="V44" s="7"/>
      <c r="W44" s="6"/>
    </row>
    <row r="45" spans="1:23" x14ac:dyDescent="0.35">
      <c r="A45" t="s">
        <v>159</v>
      </c>
      <c r="B45" s="117" t="s">
        <v>197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5"/>
      <c r="Q45" s="5"/>
      <c r="R45" s="5"/>
      <c r="S45" s="5"/>
      <c r="T45" s="8"/>
      <c r="U45" s="5"/>
      <c r="V45" s="7"/>
      <c r="W45" s="6"/>
    </row>
    <row r="46" spans="1:23" x14ac:dyDescent="0.35">
      <c r="A46" t="s">
        <v>198</v>
      </c>
      <c r="B46" s="117" t="s">
        <v>199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5"/>
      <c r="Q46" s="5"/>
      <c r="R46" s="5"/>
      <c r="S46" s="5"/>
      <c r="T46" s="8"/>
      <c r="U46" s="5"/>
      <c r="V46" s="7"/>
      <c r="W46" s="6"/>
    </row>
    <row r="47" spans="1:23" x14ac:dyDescent="0.35">
      <c r="A47" t="s">
        <v>228</v>
      </c>
      <c r="B47" t="s">
        <v>272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5"/>
      <c r="Q47" s="5"/>
      <c r="R47" s="5"/>
      <c r="S47" s="5"/>
      <c r="T47" s="8"/>
      <c r="U47" s="5"/>
      <c r="V47" s="7"/>
      <c r="W47" s="6"/>
    </row>
    <row r="48" spans="1:23" x14ac:dyDescent="0.35">
      <c r="A48" t="s">
        <v>260</v>
      </c>
      <c r="B48" t="s">
        <v>271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5"/>
      <c r="Q48" s="5"/>
      <c r="R48" s="5"/>
      <c r="S48" s="5"/>
      <c r="T48" s="8"/>
      <c r="U48" s="5"/>
      <c r="V48" s="7"/>
      <c r="W48" s="6"/>
    </row>
    <row r="49" spans="1:23" x14ac:dyDescent="0.35">
      <c r="A49" t="s">
        <v>234</v>
      </c>
      <c r="B49" t="s">
        <v>270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5"/>
      <c r="Q49" s="5"/>
      <c r="R49" s="5"/>
      <c r="S49" s="5"/>
      <c r="T49" s="8"/>
      <c r="U49" s="5"/>
      <c r="V49" s="7"/>
      <c r="W49" s="6"/>
    </row>
    <row r="50" spans="1:23" x14ac:dyDescent="0.35">
      <c r="A50" t="s">
        <v>267</v>
      </c>
      <c r="B50" t="s">
        <v>269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5"/>
      <c r="Q50" s="5"/>
      <c r="R50" s="5"/>
      <c r="S50" s="5"/>
      <c r="T50" s="8"/>
      <c r="U50" s="5"/>
      <c r="V50" s="7"/>
      <c r="W50" s="6"/>
    </row>
    <row r="51" spans="1:23" x14ac:dyDescent="0.35"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5"/>
      <c r="Q51" s="5"/>
      <c r="R51" s="5"/>
      <c r="S51" s="5"/>
      <c r="T51" s="8"/>
      <c r="U51" s="5"/>
      <c r="V51" s="7"/>
      <c r="W51" s="6"/>
    </row>
    <row r="52" spans="1:23" x14ac:dyDescent="0.35"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5"/>
      <c r="Q52" s="5"/>
      <c r="R52" s="5"/>
      <c r="S52" s="5"/>
      <c r="T52" s="8"/>
      <c r="U52" s="5"/>
      <c r="V52" s="7"/>
      <c r="W52" s="6"/>
    </row>
    <row r="53" spans="1:23" x14ac:dyDescent="0.35"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5"/>
      <c r="Q53" s="5"/>
      <c r="R53" s="5"/>
      <c r="S53" s="5"/>
      <c r="T53" s="8"/>
      <c r="U53" s="5"/>
      <c r="V53" s="7"/>
      <c r="W53" s="6"/>
    </row>
    <row r="54" spans="1:23" x14ac:dyDescent="0.35"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5"/>
      <c r="Q54" s="5"/>
      <c r="R54" s="5"/>
      <c r="S54" s="5"/>
      <c r="T54" s="8"/>
      <c r="U54" s="5"/>
      <c r="V54" s="7"/>
      <c r="W54" s="6"/>
    </row>
    <row r="55" spans="1:23" x14ac:dyDescent="0.35"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5"/>
      <c r="Q55" s="5"/>
      <c r="R55" s="5"/>
      <c r="S55" s="5"/>
      <c r="T55" s="8"/>
      <c r="U55" s="5"/>
      <c r="V55" s="7"/>
      <c r="W55" s="6"/>
    </row>
    <row r="56" spans="1:23" x14ac:dyDescent="0.35"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5"/>
      <c r="Q56" s="5"/>
      <c r="R56" s="5"/>
      <c r="S56" s="5"/>
      <c r="T56" s="8"/>
      <c r="U56" s="5"/>
      <c r="V56" s="7"/>
      <c r="W56" s="6"/>
    </row>
    <row r="57" spans="1:23" x14ac:dyDescent="0.35"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5"/>
      <c r="Q57" s="5"/>
      <c r="R57" s="5"/>
      <c r="S57" s="5"/>
      <c r="T57" s="8"/>
      <c r="U57" s="5"/>
      <c r="V57" s="7"/>
      <c r="W57" s="6"/>
    </row>
    <row r="58" spans="1:23" x14ac:dyDescent="0.35"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5"/>
      <c r="Q58" s="5"/>
      <c r="R58" s="5"/>
      <c r="S58" s="5"/>
      <c r="T58" s="8"/>
      <c r="U58" s="5"/>
      <c r="V58" s="7"/>
      <c r="W58" s="6"/>
    </row>
    <row r="59" spans="1:23" x14ac:dyDescent="0.35"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5"/>
      <c r="Q59" s="5"/>
      <c r="R59" s="5"/>
      <c r="S59" s="5"/>
      <c r="T59" s="8"/>
      <c r="U59" s="5"/>
      <c r="V59" s="7"/>
      <c r="W59" s="6"/>
    </row>
    <row r="60" spans="1:23" x14ac:dyDescent="0.35"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5"/>
      <c r="Q60" s="5"/>
      <c r="R60" s="5"/>
      <c r="S60" s="5"/>
      <c r="T60" s="8"/>
      <c r="U60" s="5"/>
      <c r="V60" s="7"/>
      <c r="W60" s="6"/>
    </row>
    <row r="61" spans="1:23" x14ac:dyDescent="0.35"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5"/>
      <c r="Q61" s="5"/>
      <c r="R61" s="5"/>
      <c r="S61" s="5"/>
      <c r="T61" s="8"/>
      <c r="U61" s="5"/>
      <c r="V61" s="7"/>
      <c r="W61" s="6"/>
    </row>
    <row r="62" spans="1:23" x14ac:dyDescent="0.35"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5"/>
      <c r="Q62" s="5"/>
      <c r="R62" s="5"/>
      <c r="S62" s="5"/>
      <c r="T62" s="8"/>
      <c r="U62" s="5"/>
      <c r="V62" s="7"/>
      <c r="W62" s="6"/>
    </row>
    <row r="63" spans="1:23" x14ac:dyDescent="0.35"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5"/>
      <c r="Q63" s="5"/>
      <c r="R63" s="5"/>
      <c r="S63" s="5"/>
      <c r="T63" s="8"/>
      <c r="U63" s="5"/>
      <c r="V63" s="7"/>
      <c r="W63" s="6"/>
    </row>
    <row r="64" spans="1:23" x14ac:dyDescent="0.35"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5"/>
      <c r="Q64" s="5"/>
      <c r="R64" s="5"/>
      <c r="S64" s="5"/>
      <c r="T64" s="8"/>
      <c r="U64" s="5"/>
      <c r="V64" s="7"/>
      <c r="W64" s="6"/>
    </row>
    <row r="65" spans="5:23" x14ac:dyDescent="0.35"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5"/>
      <c r="Q65" s="5"/>
      <c r="R65" s="5"/>
      <c r="S65" s="5"/>
      <c r="T65" s="8"/>
      <c r="U65" s="5"/>
      <c r="V65" s="7"/>
      <c r="W65" s="6"/>
    </row>
    <row r="66" spans="5:23" x14ac:dyDescent="0.35"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5"/>
      <c r="Q66" s="5"/>
      <c r="R66" s="5"/>
      <c r="S66" s="5"/>
      <c r="T66" s="8"/>
      <c r="U66" s="5"/>
      <c r="V66" s="7"/>
      <c r="W66" s="6"/>
    </row>
    <row r="67" spans="5:23" x14ac:dyDescent="0.35"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5"/>
      <c r="Q67" s="5"/>
      <c r="R67" s="5"/>
      <c r="S67" s="5"/>
      <c r="T67" s="8"/>
      <c r="U67" s="5"/>
      <c r="V67" s="7"/>
      <c r="W67" s="6"/>
    </row>
    <row r="68" spans="5:23" x14ac:dyDescent="0.35"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5"/>
      <c r="Q68" s="5"/>
      <c r="R68" s="5"/>
      <c r="S68" s="5"/>
      <c r="T68" s="8"/>
      <c r="U68" s="5"/>
      <c r="V68" s="7"/>
      <c r="W68" s="6"/>
    </row>
    <row r="69" spans="5:23" x14ac:dyDescent="0.35"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5"/>
      <c r="Q69" s="5"/>
      <c r="R69" s="5"/>
      <c r="S69" s="5"/>
      <c r="T69" s="8"/>
      <c r="U69" s="5"/>
      <c r="V69" s="7"/>
      <c r="W69" s="6"/>
    </row>
    <row r="70" spans="5:23" x14ac:dyDescent="0.35"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5"/>
      <c r="Q70" s="5"/>
      <c r="R70" s="5"/>
      <c r="S70" s="5"/>
      <c r="T70" s="8"/>
      <c r="U70" s="5"/>
      <c r="V70" s="7"/>
      <c r="W70" s="6"/>
    </row>
    <row r="71" spans="5:23" x14ac:dyDescent="0.35"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5"/>
      <c r="Q71" s="5"/>
      <c r="R71" s="5"/>
      <c r="S71" s="5"/>
      <c r="T71" s="8"/>
      <c r="U71" s="5"/>
      <c r="V71" s="7"/>
      <c r="W71" s="6"/>
    </row>
    <row r="72" spans="5:23" x14ac:dyDescent="0.35"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5"/>
      <c r="Q72" s="5"/>
      <c r="R72" s="5"/>
      <c r="S72" s="5"/>
      <c r="T72" s="8"/>
      <c r="U72" s="5"/>
      <c r="V72" s="7"/>
      <c r="W72" s="6"/>
    </row>
    <row r="73" spans="5:23" x14ac:dyDescent="0.35"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5"/>
      <c r="Q73" s="5"/>
      <c r="R73" s="5"/>
      <c r="S73" s="5"/>
      <c r="T73" s="8"/>
      <c r="U73" s="5"/>
      <c r="V73" s="7"/>
      <c r="W73" s="6"/>
    </row>
    <row r="74" spans="5:23" x14ac:dyDescent="0.35"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5"/>
      <c r="Q74" s="5"/>
      <c r="R74" s="5"/>
      <c r="S74" s="5"/>
      <c r="T74" s="8"/>
      <c r="U74" s="5"/>
      <c r="V74" s="7"/>
      <c r="W74" s="6"/>
    </row>
    <row r="75" spans="5:23" x14ac:dyDescent="0.35"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5"/>
      <c r="Q75" s="5"/>
      <c r="R75" s="5"/>
      <c r="S75" s="5"/>
      <c r="T75" s="8"/>
      <c r="U75" s="5"/>
      <c r="V75" s="7"/>
      <c r="W75" s="6"/>
    </row>
    <row r="76" spans="5:23" x14ac:dyDescent="0.35"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5"/>
      <c r="Q76" s="5"/>
      <c r="R76" s="5"/>
      <c r="S76" s="5"/>
      <c r="T76" s="8"/>
      <c r="U76" s="5"/>
      <c r="V76" s="7"/>
      <c r="W76" s="6"/>
    </row>
    <row r="77" spans="5:23" x14ac:dyDescent="0.35"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5"/>
      <c r="Q77" s="5"/>
      <c r="R77" s="5"/>
      <c r="S77" s="5"/>
      <c r="T77" s="8"/>
      <c r="U77" s="5"/>
      <c r="V77" s="7"/>
      <c r="W77" s="6"/>
    </row>
    <row r="78" spans="5:23" x14ac:dyDescent="0.35"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5"/>
      <c r="Q78" s="5"/>
      <c r="R78" s="5"/>
      <c r="S78" s="5"/>
      <c r="T78" s="8"/>
      <c r="U78" s="5"/>
      <c r="V78" s="7"/>
      <c r="W78" s="6"/>
    </row>
    <row r="79" spans="5:23" x14ac:dyDescent="0.35"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5"/>
      <c r="Q79" s="5"/>
      <c r="R79" s="5"/>
      <c r="S79" s="5"/>
      <c r="T79" s="8"/>
      <c r="U79" s="5"/>
      <c r="V79" s="7"/>
      <c r="W79" s="6"/>
    </row>
    <row r="80" spans="5:23" x14ac:dyDescent="0.35"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5"/>
      <c r="Q80" s="5"/>
      <c r="R80" s="5"/>
      <c r="S80" s="5"/>
      <c r="T80" s="8"/>
      <c r="U80" s="5"/>
      <c r="V80" s="7"/>
      <c r="W80" s="6"/>
    </row>
    <row r="81" spans="5:23" x14ac:dyDescent="0.35"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5"/>
      <c r="Q81" s="5"/>
      <c r="R81" s="5"/>
      <c r="S81" s="5"/>
      <c r="T81" s="8"/>
      <c r="U81" s="5"/>
      <c r="V81" s="7"/>
      <c r="W81" s="6"/>
    </row>
    <row r="82" spans="5:23" x14ac:dyDescent="0.35"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5"/>
      <c r="Q82" s="5"/>
      <c r="R82" s="5"/>
      <c r="S82" s="5"/>
      <c r="T82" s="8"/>
      <c r="U82" s="5"/>
      <c r="V82" s="7"/>
      <c r="W82" s="6"/>
    </row>
    <row r="83" spans="5:23" x14ac:dyDescent="0.35"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5"/>
      <c r="Q83" s="5"/>
      <c r="R83" s="5"/>
      <c r="S83" s="5"/>
      <c r="T83" s="8"/>
      <c r="U83" s="5"/>
      <c r="V83" s="7"/>
      <c r="W83" s="6"/>
    </row>
    <row r="84" spans="5:23" x14ac:dyDescent="0.35"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5"/>
      <c r="Q84" s="5"/>
      <c r="R84" s="5"/>
      <c r="S84" s="5"/>
      <c r="T84" s="8"/>
      <c r="U84" s="5"/>
      <c r="V84" s="7"/>
      <c r="W84" s="6"/>
    </row>
    <row r="85" spans="5:23" x14ac:dyDescent="0.35"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5"/>
      <c r="Q85" s="5"/>
      <c r="R85" s="5"/>
      <c r="S85" s="5"/>
      <c r="T85" s="8"/>
      <c r="U85" s="5"/>
      <c r="V85" s="7"/>
      <c r="W85" s="6"/>
    </row>
    <row r="86" spans="5:23" x14ac:dyDescent="0.35"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5"/>
      <c r="Q86" s="5"/>
      <c r="R86" s="5"/>
      <c r="S86" s="5"/>
      <c r="T86" s="8"/>
      <c r="U86" s="5"/>
      <c r="V86" s="7"/>
      <c r="W86" s="6"/>
    </row>
    <row r="87" spans="5:23" x14ac:dyDescent="0.35"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5"/>
      <c r="Q87" s="5"/>
      <c r="R87" s="5"/>
      <c r="S87" s="5"/>
      <c r="T87" s="8"/>
      <c r="U87" s="5"/>
      <c r="V87" s="7"/>
      <c r="W87" s="6"/>
    </row>
    <row r="88" spans="5:23" x14ac:dyDescent="0.35"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5"/>
      <c r="Q88" s="5"/>
      <c r="R88" s="5"/>
      <c r="S88" s="5"/>
      <c r="T88" s="8"/>
      <c r="U88" s="5"/>
      <c r="V88" s="7"/>
      <c r="W88" s="6"/>
    </row>
    <row r="89" spans="5:23" x14ac:dyDescent="0.35"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5"/>
      <c r="Q89" s="5"/>
      <c r="R89" s="5"/>
      <c r="S89" s="5"/>
      <c r="T89" s="8"/>
      <c r="U89" s="5"/>
      <c r="V89" s="7"/>
      <c r="W89" s="6"/>
    </row>
    <row r="90" spans="5:23" x14ac:dyDescent="0.35"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5"/>
      <c r="Q90" s="5"/>
      <c r="R90" s="5"/>
      <c r="S90" s="5"/>
      <c r="T90" s="8"/>
      <c r="U90" s="5"/>
      <c r="V90" s="7"/>
      <c r="W90" s="6"/>
    </row>
    <row r="91" spans="5:23" x14ac:dyDescent="0.35"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5"/>
      <c r="Q91" s="5"/>
      <c r="R91" s="5"/>
      <c r="S91" s="5"/>
      <c r="T91" s="8"/>
      <c r="U91" s="5"/>
      <c r="V91" s="7"/>
      <c r="W91" s="6"/>
    </row>
    <row r="92" spans="5:23" x14ac:dyDescent="0.35"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5"/>
      <c r="Q92" s="5"/>
      <c r="R92" s="5"/>
      <c r="S92" s="5"/>
      <c r="T92" s="8"/>
      <c r="U92" s="5"/>
      <c r="V92" s="7"/>
      <c r="W92" s="6"/>
    </row>
    <row r="93" spans="5:23" x14ac:dyDescent="0.35"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5"/>
      <c r="Q93" s="5"/>
      <c r="R93" s="5"/>
      <c r="S93" s="5"/>
      <c r="T93" s="8"/>
      <c r="U93" s="5"/>
      <c r="V93" s="7"/>
      <c r="W93" s="6"/>
    </row>
    <row r="94" spans="5:23" x14ac:dyDescent="0.35"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5"/>
      <c r="Q94" s="5"/>
      <c r="R94" s="5"/>
      <c r="S94" s="5"/>
      <c r="T94" s="8"/>
      <c r="U94" s="5"/>
      <c r="V94" s="7"/>
      <c r="W94" s="6"/>
    </row>
    <row r="95" spans="5:23" x14ac:dyDescent="0.35"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5"/>
      <c r="Q95" s="5"/>
      <c r="R95" s="5"/>
      <c r="S95" s="5"/>
      <c r="T95" s="8"/>
      <c r="U95" s="5"/>
      <c r="V95" s="7"/>
      <c r="W95" s="6"/>
    </row>
    <row r="96" spans="5:23" x14ac:dyDescent="0.35"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5"/>
      <c r="Q96" s="5"/>
      <c r="R96" s="5"/>
      <c r="S96" s="5"/>
      <c r="T96" s="8"/>
      <c r="U96" s="5"/>
      <c r="V96" s="7"/>
      <c r="W96" s="6"/>
    </row>
    <row r="97" spans="5:23" x14ac:dyDescent="0.35"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5"/>
      <c r="Q97" s="5"/>
      <c r="R97" s="5"/>
      <c r="S97" s="5"/>
      <c r="T97" s="8"/>
      <c r="U97" s="5"/>
      <c r="V97" s="7"/>
      <c r="W97" s="6"/>
    </row>
    <row r="98" spans="5:23" x14ac:dyDescent="0.35"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5"/>
      <c r="Q98" s="5"/>
      <c r="R98" s="5"/>
      <c r="S98" s="5"/>
      <c r="T98" s="8"/>
      <c r="U98" s="5"/>
      <c r="V98" s="7"/>
      <c r="W98" s="6"/>
    </row>
    <row r="99" spans="5:23" x14ac:dyDescent="0.35"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5"/>
      <c r="Q99" s="5"/>
      <c r="R99" s="5"/>
      <c r="S99" s="5"/>
      <c r="T99" s="8"/>
      <c r="U99" s="5"/>
      <c r="V99" s="7"/>
      <c r="W99" s="6"/>
    </row>
    <row r="100" spans="5:23" x14ac:dyDescent="0.35"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5"/>
      <c r="Q100" s="5"/>
      <c r="R100" s="5"/>
      <c r="S100" s="5"/>
      <c r="T100" s="8"/>
      <c r="U100" s="5"/>
      <c r="V100" s="7"/>
      <c r="W100" s="6"/>
    </row>
    <row r="101" spans="5:23" x14ac:dyDescent="0.35"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5"/>
      <c r="Q101" s="5"/>
      <c r="R101" s="5"/>
      <c r="S101" s="5"/>
      <c r="T101" s="8"/>
      <c r="U101" s="5"/>
      <c r="V101" s="7"/>
      <c r="W101" s="6"/>
    </row>
    <row r="102" spans="5:23" x14ac:dyDescent="0.35"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5"/>
      <c r="Q102" s="5"/>
      <c r="R102" s="5"/>
      <c r="S102" s="5"/>
      <c r="T102" s="8"/>
      <c r="U102" s="5"/>
      <c r="V102" s="7"/>
      <c r="W102" s="6"/>
    </row>
    <row r="103" spans="5:23" x14ac:dyDescent="0.35"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5"/>
      <c r="Q103" s="5"/>
      <c r="R103" s="5"/>
      <c r="S103" s="5"/>
      <c r="T103" s="8"/>
      <c r="U103" s="5"/>
      <c r="V103" s="7"/>
      <c r="W103" s="6"/>
    </row>
    <row r="104" spans="5:23" x14ac:dyDescent="0.35"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5"/>
      <c r="Q104" s="5"/>
      <c r="R104" s="5"/>
      <c r="S104" s="5"/>
      <c r="T104" s="8"/>
      <c r="U104" s="5"/>
      <c r="V104" s="7"/>
      <c r="W104" s="6"/>
    </row>
    <row r="105" spans="5:23" x14ac:dyDescent="0.35"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5"/>
      <c r="Q105" s="5"/>
      <c r="R105" s="5"/>
      <c r="S105" s="5"/>
      <c r="T105" s="8"/>
      <c r="U105" s="5"/>
      <c r="V105" s="7"/>
      <c r="W105" s="6"/>
    </row>
    <row r="106" spans="5:23" x14ac:dyDescent="0.35"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5"/>
      <c r="Q106" s="5"/>
      <c r="R106" s="5"/>
      <c r="S106" s="5"/>
      <c r="T106" s="8"/>
      <c r="U106" s="5"/>
      <c r="V106" s="7"/>
      <c r="W106" s="6"/>
    </row>
    <row r="107" spans="5:23" x14ac:dyDescent="0.35"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5"/>
      <c r="Q107" s="5"/>
      <c r="R107" s="5"/>
      <c r="S107" s="5"/>
      <c r="T107" s="8"/>
      <c r="U107" s="5"/>
      <c r="V107" s="7"/>
      <c r="W107" s="6"/>
    </row>
    <row r="108" spans="5:23" x14ac:dyDescent="0.35"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5"/>
      <c r="Q108" s="5"/>
      <c r="R108" s="5"/>
      <c r="S108" s="5"/>
      <c r="T108" s="8"/>
      <c r="U108" s="5"/>
      <c r="V108" s="7"/>
      <c r="W108" s="6"/>
    </row>
    <row r="109" spans="5:23" x14ac:dyDescent="0.35"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5"/>
      <c r="Q109" s="5"/>
      <c r="R109" s="5"/>
      <c r="S109" s="5"/>
      <c r="T109" s="8"/>
      <c r="U109" s="5"/>
      <c r="V109" s="7"/>
      <c r="W109" s="6"/>
    </row>
    <row r="110" spans="5:23" x14ac:dyDescent="0.35"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5"/>
      <c r="Q110" s="5"/>
      <c r="R110" s="5"/>
      <c r="S110" s="5"/>
      <c r="T110" s="8"/>
      <c r="U110" s="5"/>
      <c r="V110" s="7"/>
      <c r="W110" s="6"/>
    </row>
    <row r="111" spans="5:23" x14ac:dyDescent="0.35"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5"/>
      <c r="Q111" s="5"/>
      <c r="R111" s="5"/>
      <c r="S111" s="5"/>
      <c r="T111" s="8"/>
      <c r="U111" s="5"/>
      <c r="V111" s="7"/>
      <c r="W111" s="6"/>
    </row>
    <row r="112" spans="5:23" x14ac:dyDescent="0.35"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5"/>
      <c r="Q112" s="5"/>
      <c r="R112" s="5"/>
      <c r="S112" s="5"/>
      <c r="T112" s="8"/>
      <c r="U112" s="5"/>
      <c r="V112" s="7"/>
      <c r="W112" s="6"/>
    </row>
    <row r="113" spans="5:23" x14ac:dyDescent="0.35"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5"/>
      <c r="Q113" s="5"/>
      <c r="R113" s="5"/>
      <c r="S113" s="5"/>
      <c r="T113" s="8"/>
      <c r="U113" s="5"/>
      <c r="V113" s="7"/>
      <c r="W113" s="6"/>
    </row>
    <row r="114" spans="5:23" x14ac:dyDescent="0.35"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5"/>
      <c r="Q114" s="5"/>
      <c r="R114" s="5"/>
      <c r="S114" s="5"/>
      <c r="T114" s="8"/>
      <c r="U114" s="5"/>
      <c r="V114" s="7"/>
      <c r="W114" s="6"/>
    </row>
    <row r="115" spans="5:23" x14ac:dyDescent="0.35"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5"/>
      <c r="Q115" s="5"/>
      <c r="R115" s="5"/>
      <c r="S115" s="5"/>
      <c r="T115" s="8"/>
      <c r="U115" s="5"/>
      <c r="V115" s="7"/>
      <c r="W115" s="6"/>
    </row>
    <row r="116" spans="5:23" x14ac:dyDescent="0.35"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5"/>
      <c r="Q116" s="5"/>
      <c r="R116" s="5"/>
      <c r="S116" s="5"/>
      <c r="T116" s="8"/>
      <c r="U116" s="5"/>
      <c r="V116" s="7"/>
      <c r="W116" s="6"/>
    </row>
    <row r="117" spans="5:23" x14ac:dyDescent="0.35"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5"/>
      <c r="Q117" s="5"/>
      <c r="R117" s="5"/>
      <c r="S117" s="5"/>
      <c r="T117" s="8"/>
      <c r="U117" s="5"/>
      <c r="V117" s="7"/>
      <c r="W117" s="6"/>
    </row>
    <row r="118" spans="5:23" x14ac:dyDescent="0.35"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5"/>
      <c r="Q118" s="5"/>
      <c r="R118" s="5"/>
      <c r="S118" s="5"/>
      <c r="T118" s="8"/>
      <c r="U118" s="5"/>
      <c r="V118" s="7"/>
      <c r="W118" s="6"/>
    </row>
    <row r="119" spans="5:23" x14ac:dyDescent="0.35"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5"/>
      <c r="Q119" s="5"/>
      <c r="R119" s="5"/>
      <c r="S119" s="5"/>
      <c r="T119" s="8"/>
      <c r="U119" s="5"/>
      <c r="V119" s="7"/>
      <c r="W119" s="6"/>
    </row>
    <row r="120" spans="5:23" x14ac:dyDescent="0.35"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5"/>
      <c r="Q120" s="5"/>
      <c r="R120" s="5"/>
      <c r="S120" s="5"/>
      <c r="T120" s="8"/>
      <c r="U120" s="5"/>
      <c r="V120" s="7"/>
      <c r="W120" s="6"/>
    </row>
    <row r="121" spans="5:23" x14ac:dyDescent="0.35"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5"/>
      <c r="Q121" s="5"/>
      <c r="R121" s="5"/>
      <c r="S121" s="5"/>
      <c r="T121" s="8"/>
      <c r="U121" s="5"/>
      <c r="V121" s="7"/>
      <c r="W121" s="6"/>
    </row>
    <row r="122" spans="5:23" x14ac:dyDescent="0.35"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5"/>
      <c r="Q122" s="5"/>
      <c r="R122" s="5"/>
      <c r="S122" s="5"/>
      <c r="T122" s="8"/>
      <c r="U122" s="5"/>
      <c r="V122" s="7"/>
      <c r="W122" s="6"/>
    </row>
    <row r="123" spans="5:23" x14ac:dyDescent="0.35"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5"/>
      <c r="Q123" s="5"/>
      <c r="R123" s="5"/>
      <c r="S123" s="5"/>
      <c r="T123" s="8"/>
      <c r="U123" s="5"/>
      <c r="V123" s="7"/>
      <c r="W123" s="6"/>
    </row>
    <row r="124" spans="5:23" x14ac:dyDescent="0.35"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5"/>
      <c r="Q124" s="5"/>
      <c r="R124" s="5"/>
      <c r="S124" s="5"/>
      <c r="T124" s="8"/>
      <c r="U124" s="5"/>
      <c r="V124" s="7"/>
      <c r="W124" s="6"/>
    </row>
    <row r="125" spans="5:23" x14ac:dyDescent="0.35"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5"/>
      <c r="Q125" s="5"/>
      <c r="R125" s="5"/>
      <c r="S125" s="5"/>
      <c r="T125" s="8"/>
      <c r="U125" s="5"/>
      <c r="V125" s="7"/>
      <c r="W125" s="6"/>
    </row>
    <row r="126" spans="5:23" x14ac:dyDescent="0.35"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5"/>
      <c r="Q126" s="5"/>
      <c r="R126" s="5"/>
      <c r="S126" s="5"/>
      <c r="T126" s="8"/>
      <c r="U126" s="5"/>
      <c r="V126" s="7"/>
      <c r="W126" s="6"/>
    </row>
    <row r="127" spans="5:23" x14ac:dyDescent="0.35"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5"/>
      <c r="Q127" s="5"/>
      <c r="R127" s="5"/>
      <c r="S127" s="5"/>
      <c r="T127" s="8"/>
      <c r="U127" s="5"/>
      <c r="V127" s="7"/>
      <c r="W127" s="6"/>
    </row>
    <row r="128" spans="5:23" x14ac:dyDescent="0.35"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5"/>
      <c r="Q128" s="5"/>
      <c r="R128" s="5"/>
      <c r="S128" s="5"/>
      <c r="T128" s="8"/>
      <c r="U128" s="5"/>
      <c r="V128" s="7"/>
      <c r="W128" s="6"/>
    </row>
    <row r="129" spans="5:23" x14ac:dyDescent="0.35"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5"/>
      <c r="Q129" s="5"/>
      <c r="R129" s="5"/>
      <c r="S129" s="5"/>
      <c r="T129" s="8"/>
      <c r="U129" s="5"/>
      <c r="V129" s="7"/>
      <c r="W129" s="6"/>
    </row>
    <row r="130" spans="5:23" x14ac:dyDescent="0.35"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5"/>
      <c r="Q130" s="5"/>
      <c r="R130" s="5"/>
      <c r="S130" s="5"/>
      <c r="T130" s="8"/>
      <c r="U130" s="5"/>
      <c r="V130" s="7"/>
      <c r="W130" s="6"/>
    </row>
    <row r="131" spans="5:23" x14ac:dyDescent="0.35"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5"/>
      <c r="Q131" s="5"/>
      <c r="R131" s="5"/>
      <c r="S131" s="5"/>
      <c r="T131" s="8"/>
      <c r="U131" s="5"/>
      <c r="V131" s="7"/>
      <c r="W131" s="6"/>
    </row>
    <row r="132" spans="5:23" x14ac:dyDescent="0.35"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5"/>
      <c r="Q132" s="5"/>
      <c r="R132" s="5"/>
      <c r="S132" s="5"/>
      <c r="T132" s="8"/>
      <c r="U132" s="5"/>
      <c r="V132" s="7"/>
      <c r="W132" s="6"/>
    </row>
    <row r="133" spans="5:23" x14ac:dyDescent="0.35"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5"/>
      <c r="Q133" s="5"/>
      <c r="R133" s="5"/>
      <c r="S133" s="5"/>
      <c r="T133" s="8"/>
      <c r="U133" s="5"/>
      <c r="V133" s="7"/>
      <c r="W133" s="6"/>
    </row>
    <row r="134" spans="5:23" x14ac:dyDescent="0.35"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5"/>
      <c r="Q134" s="5"/>
      <c r="R134" s="5"/>
      <c r="S134" s="5"/>
      <c r="T134" s="8"/>
      <c r="U134" s="5"/>
      <c r="V134" s="7"/>
      <c r="W134" s="6"/>
    </row>
    <row r="135" spans="5:23" x14ac:dyDescent="0.35"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5"/>
      <c r="Q135" s="5"/>
      <c r="R135" s="5"/>
      <c r="S135" s="5"/>
      <c r="T135" s="8"/>
      <c r="U135" s="5"/>
      <c r="V135" s="7"/>
      <c r="W135" s="6"/>
    </row>
    <row r="136" spans="5:23" x14ac:dyDescent="0.35"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5"/>
      <c r="Q136" s="5"/>
      <c r="R136" s="5"/>
      <c r="S136" s="5"/>
      <c r="T136" s="8"/>
      <c r="U136" s="5"/>
      <c r="V136" s="7"/>
      <c r="W136" s="6"/>
    </row>
    <row r="137" spans="5:23" x14ac:dyDescent="0.35"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5"/>
      <c r="Q137" s="5"/>
      <c r="R137" s="5"/>
      <c r="S137" s="5"/>
      <c r="T137" s="8"/>
      <c r="U137" s="5"/>
      <c r="V137" s="7"/>
      <c r="W137" s="6"/>
    </row>
    <row r="138" spans="5:23" x14ac:dyDescent="0.35"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5"/>
      <c r="Q138" s="5"/>
      <c r="R138" s="5"/>
      <c r="S138" s="5"/>
      <c r="T138" s="8"/>
      <c r="U138" s="5"/>
      <c r="V138" s="7"/>
      <c r="W138" s="6"/>
    </row>
    <row r="139" spans="5:23" x14ac:dyDescent="0.35"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5"/>
      <c r="Q139" s="5"/>
      <c r="R139" s="5"/>
      <c r="S139" s="5"/>
      <c r="T139" s="8"/>
      <c r="U139" s="5"/>
      <c r="V139" s="7"/>
      <c r="W139" s="6"/>
    </row>
    <row r="140" spans="5:23" x14ac:dyDescent="0.35"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5"/>
      <c r="Q140" s="5"/>
      <c r="R140" s="5"/>
      <c r="S140" s="5"/>
      <c r="T140" s="8"/>
      <c r="U140" s="5"/>
      <c r="V140" s="7"/>
      <c r="W140" s="6"/>
    </row>
    <row r="141" spans="5:23" x14ac:dyDescent="0.35"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5"/>
      <c r="Q141" s="5"/>
      <c r="R141" s="5"/>
      <c r="S141" s="5"/>
      <c r="T141" s="8"/>
      <c r="U141" s="5"/>
      <c r="V141" s="7"/>
      <c r="W141" s="6"/>
    </row>
    <row r="142" spans="5:23" x14ac:dyDescent="0.35"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5"/>
      <c r="Q142" s="5"/>
      <c r="R142" s="5"/>
      <c r="S142" s="5"/>
      <c r="T142" s="8"/>
      <c r="U142" s="5"/>
      <c r="V142" s="7"/>
      <c r="W142" s="6"/>
    </row>
    <row r="143" spans="5:23" x14ac:dyDescent="0.35"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5"/>
      <c r="Q143" s="5"/>
      <c r="R143" s="5"/>
      <c r="S143" s="5"/>
      <c r="T143" s="8"/>
      <c r="U143" s="5"/>
      <c r="V143" s="7"/>
      <c r="W143" s="6"/>
    </row>
    <row r="144" spans="5:23" x14ac:dyDescent="0.35"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5"/>
      <c r="Q144" s="5"/>
      <c r="R144" s="5"/>
      <c r="S144" s="5"/>
      <c r="T144" s="8"/>
      <c r="U144" s="5"/>
      <c r="V144" s="7"/>
      <c r="W144" s="6"/>
    </row>
    <row r="145" spans="5:23" x14ac:dyDescent="0.35"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5"/>
      <c r="Q145" s="5"/>
      <c r="R145" s="5"/>
      <c r="S145" s="5"/>
      <c r="T145" s="8"/>
      <c r="U145" s="5"/>
      <c r="V145" s="7"/>
      <c r="W145" s="6"/>
    </row>
    <row r="146" spans="5:23" x14ac:dyDescent="0.35"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5"/>
      <c r="Q146" s="5"/>
      <c r="R146" s="5"/>
      <c r="S146" s="5"/>
      <c r="T146" s="8"/>
      <c r="U146" s="5"/>
      <c r="V146" s="7"/>
      <c r="W146" s="6"/>
    </row>
    <row r="147" spans="5:23" x14ac:dyDescent="0.35"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5"/>
      <c r="Q147" s="5"/>
      <c r="R147" s="5"/>
      <c r="S147" s="5"/>
      <c r="T147" s="8"/>
      <c r="U147" s="5"/>
      <c r="V147" s="7"/>
      <c r="W147" s="6"/>
    </row>
    <row r="148" spans="5:23" x14ac:dyDescent="0.35"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5"/>
      <c r="Q148" s="5"/>
      <c r="R148" s="5"/>
      <c r="S148" s="5"/>
      <c r="T148" s="8"/>
      <c r="U148" s="5"/>
      <c r="V148" s="7"/>
      <c r="W148" s="6"/>
    </row>
    <row r="149" spans="5:23" x14ac:dyDescent="0.35"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5"/>
      <c r="Q149" s="5"/>
      <c r="R149" s="5"/>
      <c r="S149" s="5"/>
      <c r="T149" s="8"/>
      <c r="U149" s="5"/>
      <c r="V149" s="7"/>
      <c r="W149" s="6"/>
    </row>
    <row r="150" spans="5:23" x14ac:dyDescent="0.35"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5"/>
      <c r="Q150" s="5"/>
      <c r="R150" s="5"/>
      <c r="S150" s="5"/>
      <c r="T150" s="8"/>
      <c r="U150" s="5"/>
      <c r="V150" s="7"/>
      <c r="W150" s="6"/>
    </row>
    <row r="151" spans="5:23" x14ac:dyDescent="0.35"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5"/>
      <c r="Q151" s="5"/>
      <c r="R151" s="5"/>
      <c r="S151" s="5"/>
      <c r="T151" s="8"/>
      <c r="U151" s="5"/>
      <c r="V151" s="7"/>
      <c r="W151" s="6"/>
    </row>
    <row r="152" spans="5:23" x14ac:dyDescent="0.35"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5"/>
      <c r="Q152" s="5"/>
      <c r="R152" s="5"/>
      <c r="S152" s="5"/>
      <c r="T152" s="8"/>
      <c r="U152" s="5"/>
      <c r="V152" s="7"/>
      <c r="W152" s="6"/>
    </row>
    <row r="153" spans="5:23" x14ac:dyDescent="0.35"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5"/>
      <c r="Q153" s="5"/>
      <c r="R153" s="5"/>
      <c r="S153" s="5"/>
      <c r="T153" s="8"/>
      <c r="U153" s="5"/>
      <c r="V153" s="7"/>
      <c r="W153" s="6"/>
    </row>
    <row r="154" spans="5:23" x14ac:dyDescent="0.35"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5"/>
      <c r="Q154" s="5"/>
      <c r="R154" s="5"/>
      <c r="S154" s="5"/>
      <c r="T154" s="8"/>
      <c r="U154" s="5"/>
      <c r="V154" s="7"/>
      <c r="W154" s="6"/>
    </row>
    <row r="155" spans="5:23" x14ac:dyDescent="0.35"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5"/>
      <c r="Q155" s="5"/>
      <c r="R155" s="5"/>
      <c r="S155" s="5"/>
      <c r="T155" s="8"/>
      <c r="U155" s="5"/>
      <c r="V155" s="7"/>
      <c r="W155" s="6"/>
    </row>
    <row r="156" spans="5:23" x14ac:dyDescent="0.35"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5"/>
      <c r="Q156" s="5"/>
      <c r="R156" s="5"/>
      <c r="S156" s="5"/>
      <c r="T156" s="8"/>
      <c r="U156" s="5"/>
      <c r="V156" s="7"/>
      <c r="W156" s="6"/>
    </row>
    <row r="157" spans="5:23" x14ac:dyDescent="0.35"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5"/>
      <c r="Q157" s="5"/>
      <c r="R157" s="5"/>
      <c r="S157" s="5"/>
      <c r="T157" s="8"/>
      <c r="U157" s="5"/>
      <c r="V157" s="7"/>
      <c r="W157" s="6"/>
    </row>
    <row r="158" spans="5:23" x14ac:dyDescent="0.35"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5"/>
      <c r="Q158" s="5"/>
      <c r="R158" s="5"/>
      <c r="S158" s="5"/>
      <c r="T158" s="8"/>
      <c r="U158" s="5"/>
      <c r="V158" s="7"/>
      <c r="W158" s="6"/>
    </row>
    <row r="159" spans="5:23" x14ac:dyDescent="0.35"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5"/>
      <c r="Q159" s="5"/>
      <c r="R159" s="5"/>
      <c r="S159" s="5"/>
      <c r="T159" s="8"/>
      <c r="U159" s="5"/>
      <c r="V159" s="7"/>
      <c r="W159" s="6"/>
    </row>
    <row r="160" spans="5:23" x14ac:dyDescent="0.35"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5"/>
      <c r="Q160" s="5"/>
      <c r="R160" s="5"/>
      <c r="S160" s="5"/>
      <c r="T160" s="8"/>
      <c r="U160" s="5"/>
      <c r="V160" s="7"/>
      <c r="W160" s="6"/>
    </row>
    <row r="161" spans="5:23" x14ac:dyDescent="0.35"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5"/>
      <c r="Q161" s="5"/>
      <c r="R161" s="5"/>
      <c r="S161" s="5"/>
      <c r="T161" s="8"/>
      <c r="U161" s="5"/>
      <c r="V161" s="7"/>
      <c r="W161" s="6"/>
    </row>
    <row r="162" spans="5:23" x14ac:dyDescent="0.35"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5"/>
      <c r="Q162" s="5"/>
      <c r="R162" s="5"/>
      <c r="S162" s="5"/>
      <c r="T162" s="8"/>
      <c r="U162" s="5"/>
      <c r="V162" s="7"/>
      <c r="W162" s="6"/>
    </row>
    <row r="163" spans="5:23" x14ac:dyDescent="0.35"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5"/>
      <c r="Q163" s="5"/>
      <c r="R163" s="5"/>
      <c r="S163" s="5"/>
      <c r="T163" s="8"/>
      <c r="U163" s="5"/>
      <c r="V163" s="7"/>
      <c r="W163" s="6"/>
    </row>
    <row r="164" spans="5:23" x14ac:dyDescent="0.35"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5"/>
      <c r="Q164" s="5"/>
      <c r="R164" s="5"/>
      <c r="S164" s="5"/>
      <c r="T164" s="8"/>
      <c r="U164" s="5"/>
      <c r="V164" s="7"/>
      <c r="W164" s="6"/>
    </row>
    <row r="165" spans="5:23" x14ac:dyDescent="0.35"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5"/>
      <c r="Q165" s="5"/>
      <c r="R165" s="5"/>
      <c r="S165" s="5"/>
      <c r="T165" s="8"/>
      <c r="U165" s="5"/>
      <c r="V165" s="7"/>
      <c r="W165" s="6"/>
    </row>
    <row r="166" spans="5:23" x14ac:dyDescent="0.35"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5"/>
      <c r="Q166" s="5"/>
      <c r="R166" s="5"/>
      <c r="S166" s="5"/>
      <c r="T166" s="8"/>
      <c r="U166" s="5"/>
      <c r="V166" s="7"/>
      <c r="W166" s="6"/>
    </row>
    <row r="167" spans="5:23" x14ac:dyDescent="0.35"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5"/>
      <c r="Q167" s="5"/>
      <c r="R167" s="5"/>
      <c r="S167" s="5"/>
      <c r="T167" s="8"/>
      <c r="U167" s="5"/>
      <c r="V167" s="7"/>
      <c r="W167" s="6"/>
    </row>
    <row r="168" spans="5:23" x14ac:dyDescent="0.35"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5"/>
      <c r="Q168" s="5"/>
      <c r="R168" s="5"/>
      <c r="S168" s="5"/>
      <c r="T168" s="8"/>
      <c r="U168" s="5"/>
      <c r="V168" s="7"/>
      <c r="W168" s="6"/>
    </row>
    <row r="169" spans="5:23" x14ac:dyDescent="0.35"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5"/>
      <c r="Q169" s="5"/>
      <c r="R169" s="5"/>
      <c r="S169" s="5"/>
      <c r="T169" s="8"/>
      <c r="U169" s="5"/>
      <c r="V169" s="7"/>
      <c r="W169" s="6"/>
    </row>
    <row r="170" spans="5:23" x14ac:dyDescent="0.35"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5"/>
      <c r="Q170" s="5"/>
      <c r="R170" s="5"/>
      <c r="S170" s="5"/>
      <c r="T170" s="8"/>
      <c r="U170" s="5"/>
      <c r="V170" s="7"/>
      <c r="W170" s="6"/>
    </row>
    <row r="171" spans="5:23" x14ac:dyDescent="0.35"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5"/>
      <c r="Q171" s="5"/>
      <c r="R171" s="5"/>
      <c r="S171" s="5"/>
      <c r="T171" s="8"/>
      <c r="U171" s="5"/>
      <c r="V171" s="7"/>
      <c r="W171" s="6"/>
    </row>
    <row r="172" spans="5:23" x14ac:dyDescent="0.35"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5"/>
      <c r="Q172" s="5"/>
      <c r="R172" s="5"/>
      <c r="S172" s="5"/>
      <c r="T172" s="8"/>
      <c r="U172" s="5"/>
      <c r="V172" s="7"/>
      <c r="W172" s="6"/>
    </row>
    <row r="173" spans="5:23" x14ac:dyDescent="0.35"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5"/>
      <c r="Q173" s="5"/>
      <c r="R173" s="5"/>
      <c r="S173" s="5"/>
      <c r="T173" s="8"/>
      <c r="U173" s="5"/>
      <c r="V173" s="7"/>
      <c r="W173" s="6"/>
    </row>
    <row r="174" spans="5:23" x14ac:dyDescent="0.35"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5"/>
      <c r="Q174" s="5"/>
      <c r="R174" s="5"/>
      <c r="S174" s="5"/>
      <c r="T174" s="8"/>
      <c r="U174" s="5"/>
      <c r="V174" s="7"/>
      <c r="W174" s="6"/>
    </row>
    <row r="175" spans="5:23" x14ac:dyDescent="0.35"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5"/>
      <c r="Q175" s="5"/>
      <c r="R175" s="5"/>
      <c r="S175" s="5"/>
      <c r="T175" s="8"/>
      <c r="U175" s="5"/>
      <c r="V175" s="7"/>
      <c r="W175" s="6"/>
    </row>
    <row r="176" spans="5:23" x14ac:dyDescent="0.35"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5"/>
      <c r="Q176" s="5"/>
      <c r="R176" s="5"/>
      <c r="S176" s="5"/>
      <c r="T176" s="8"/>
      <c r="U176" s="5"/>
      <c r="V176" s="7"/>
      <c r="W176" s="6"/>
    </row>
    <row r="177" spans="5:23" x14ac:dyDescent="0.35"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5"/>
      <c r="Q177" s="5"/>
      <c r="R177" s="5"/>
      <c r="S177" s="5"/>
      <c r="T177" s="8"/>
      <c r="U177" s="5"/>
      <c r="V177" s="7"/>
      <c r="W177" s="6"/>
    </row>
    <row r="178" spans="5:23" x14ac:dyDescent="0.35"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5"/>
      <c r="Q178" s="5"/>
      <c r="R178" s="5"/>
      <c r="S178" s="5"/>
      <c r="T178" s="8"/>
      <c r="U178" s="5"/>
      <c r="V178" s="7"/>
      <c r="W178" s="6"/>
    </row>
    <row r="179" spans="5:23" x14ac:dyDescent="0.35"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5"/>
      <c r="Q179" s="5"/>
      <c r="R179" s="5"/>
      <c r="S179" s="5"/>
      <c r="T179" s="8"/>
      <c r="U179" s="5"/>
      <c r="V179" s="7"/>
      <c r="W179" s="6"/>
    </row>
    <row r="180" spans="5:23" x14ac:dyDescent="0.35"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5"/>
      <c r="Q180" s="5"/>
      <c r="R180" s="5"/>
      <c r="S180" s="5"/>
      <c r="T180" s="8"/>
      <c r="U180" s="5"/>
      <c r="V180" s="7"/>
      <c r="W180" s="6"/>
    </row>
    <row r="181" spans="5:23" x14ac:dyDescent="0.35"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5"/>
      <c r="Q181" s="5"/>
      <c r="R181" s="5"/>
      <c r="S181" s="5"/>
      <c r="T181" s="8"/>
      <c r="U181" s="5"/>
      <c r="V181" s="7"/>
      <c r="W181" s="6"/>
    </row>
    <row r="182" spans="5:23" x14ac:dyDescent="0.35"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5"/>
      <c r="Q182" s="5"/>
      <c r="R182" s="5"/>
      <c r="S182" s="5"/>
      <c r="T182" s="8"/>
      <c r="U182" s="5"/>
      <c r="V182" s="7"/>
      <c r="W182" s="6"/>
    </row>
    <row r="183" spans="5:23" x14ac:dyDescent="0.35"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5"/>
      <c r="Q183" s="5"/>
      <c r="R183" s="5"/>
      <c r="S183" s="5"/>
      <c r="T183" s="8"/>
      <c r="U183" s="5"/>
      <c r="V183" s="7"/>
      <c r="W183" s="6"/>
    </row>
    <row r="184" spans="5:23" x14ac:dyDescent="0.35"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5"/>
      <c r="Q184" s="5"/>
      <c r="R184" s="5"/>
      <c r="S184" s="5"/>
      <c r="T184" s="8"/>
      <c r="U184" s="5"/>
      <c r="V184" s="7"/>
      <c r="W184" s="6"/>
    </row>
    <row r="185" spans="5:23" x14ac:dyDescent="0.35"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5"/>
      <c r="Q185" s="5"/>
      <c r="R185" s="5"/>
      <c r="S185" s="5"/>
      <c r="T185" s="8"/>
      <c r="U185" s="5"/>
      <c r="V185" s="7"/>
      <c r="W185" s="6"/>
    </row>
    <row r="186" spans="5:23" x14ac:dyDescent="0.35"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5"/>
      <c r="Q186" s="5"/>
      <c r="R186" s="5"/>
      <c r="S186" s="5"/>
      <c r="T186" s="8"/>
      <c r="U186" s="5"/>
      <c r="V186" s="7"/>
      <c r="W186" s="6"/>
    </row>
    <row r="187" spans="5:23" x14ac:dyDescent="0.35"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5"/>
      <c r="Q187" s="5"/>
      <c r="R187" s="5"/>
      <c r="S187" s="5"/>
      <c r="T187" s="8"/>
      <c r="U187" s="5"/>
      <c r="V187" s="7"/>
      <c r="W187" s="6"/>
    </row>
    <row r="188" spans="5:23" x14ac:dyDescent="0.35"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5"/>
      <c r="Q188" s="5"/>
      <c r="R188" s="5"/>
      <c r="S188" s="5"/>
      <c r="T188" s="8"/>
      <c r="U188" s="5"/>
      <c r="V188" s="7"/>
      <c r="W188" s="6"/>
    </row>
    <row r="189" spans="5:23" x14ac:dyDescent="0.35"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5"/>
      <c r="Q189" s="5"/>
      <c r="R189" s="5"/>
      <c r="S189" s="5"/>
      <c r="T189" s="8"/>
      <c r="U189" s="5"/>
      <c r="V189" s="7"/>
      <c r="W189" s="6"/>
    </row>
    <row r="190" spans="5:23" x14ac:dyDescent="0.35"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5"/>
      <c r="Q190" s="5"/>
      <c r="R190" s="5"/>
      <c r="S190" s="5"/>
      <c r="T190" s="8"/>
      <c r="U190" s="5"/>
      <c r="V190" s="7"/>
      <c r="W190" s="6"/>
    </row>
    <row r="191" spans="5:23" x14ac:dyDescent="0.35"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5"/>
      <c r="Q191" s="5"/>
      <c r="R191" s="5"/>
      <c r="S191" s="5"/>
      <c r="T191" s="8"/>
      <c r="U191" s="5"/>
      <c r="V191" s="7"/>
      <c r="W191" s="6"/>
    </row>
    <row r="192" spans="5:23" x14ac:dyDescent="0.35"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5"/>
      <c r="Q192" s="5"/>
      <c r="R192" s="5"/>
      <c r="S192" s="5"/>
      <c r="T192" s="8"/>
      <c r="U192" s="5"/>
      <c r="V192" s="7"/>
      <c r="W192" s="6"/>
    </row>
    <row r="193" spans="5:23" x14ac:dyDescent="0.35"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5"/>
      <c r="Q193" s="5"/>
      <c r="R193" s="5"/>
      <c r="S193" s="5"/>
      <c r="T193" s="8"/>
      <c r="U193" s="5"/>
      <c r="V193" s="7"/>
      <c r="W193" s="6"/>
    </row>
    <row r="194" spans="5:23" x14ac:dyDescent="0.35"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5"/>
      <c r="Q194" s="5"/>
      <c r="R194" s="5"/>
      <c r="S194" s="5"/>
      <c r="T194" s="8"/>
      <c r="U194" s="5"/>
      <c r="V194" s="7"/>
      <c r="W194" s="6"/>
    </row>
    <row r="195" spans="5:23" x14ac:dyDescent="0.35"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5"/>
      <c r="Q195" s="5"/>
      <c r="R195" s="5"/>
      <c r="S195" s="5"/>
      <c r="T195" s="8"/>
      <c r="U195" s="5"/>
      <c r="V195" s="7"/>
      <c r="W195" s="6"/>
    </row>
    <row r="196" spans="5:23" x14ac:dyDescent="0.35"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5"/>
      <c r="Q196" s="5"/>
      <c r="R196" s="5"/>
      <c r="S196" s="5"/>
      <c r="T196" s="8"/>
      <c r="U196" s="5"/>
      <c r="V196" s="7"/>
      <c r="W196" s="6"/>
    </row>
    <row r="197" spans="5:23" x14ac:dyDescent="0.35"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5"/>
      <c r="Q197" s="5"/>
      <c r="R197" s="5"/>
      <c r="S197" s="5"/>
      <c r="T197" s="8"/>
      <c r="U197" s="5"/>
      <c r="V197" s="7"/>
      <c r="W197" s="6"/>
    </row>
    <row r="198" spans="5:23" x14ac:dyDescent="0.35"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5"/>
      <c r="Q198" s="5"/>
      <c r="R198" s="5"/>
      <c r="S198" s="5"/>
      <c r="T198" s="8"/>
      <c r="U198" s="5"/>
      <c r="V198" s="7"/>
      <c r="W198" s="6"/>
    </row>
    <row r="199" spans="5:23" x14ac:dyDescent="0.35"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5"/>
      <c r="Q199" s="5"/>
      <c r="R199" s="5"/>
      <c r="S199" s="5"/>
      <c r="T199" s="8"/>
      <c r="U199" s="5"/>
      <c r="V199" s="7"/>
      <c r="W199" s="6"/>
    </row>
    <row r="200" spans="5:23" x14ac:dyDescent="0.35"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5"/>
      <c r="Q200" s="5"/>
      <c r="R200" s="5"/>
      <c r="S200" s="5"/>
      <c r="T200" s="8"/>
      <c r="U200" s="5"/>
      <c r="V200" s="7"/>
      <c r="W200" s="6"/>
    </row>
    <row r="201" spans="5:23" x14ac:dyDescent="0.35"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5"/>
      <c r="Q201" s="5"/>
      <c r="R201" s="5"/>
      <c r="S201" s="5"/>
      <c r="T201" s="8"/>
      <c r="U201" s="5"/>
      <c r="V201" s="7"/>
      <c r="W201" s="6"/>
    </row>
    <row r="202" spans="5:23" x14ac:dyDescent="0.35"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5"/>
      <c r="Q202" s="5"/>
      <c r="R202" s="5"/>
      <c r="S202" s="5"/>
      <c r="T202" s="8"/>
      <c r="U202" s="5"/>
      <c r="V202" s="7"/>
      <c r="W202" s="6"/>
    </row>
    <row r="203" spans="5:23" x14ac:dyDescent="0.35"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5"/>
      <c r="Q203" s="5"/>
      <c r="R203" s="5"/>
      <c r="S203" s="5"/>
      <c r="T203" s="8"/>
      <c r="U203" s="5"/>
      <c r="V203" s="7"/>
      <c r="W203" s="6"/>
    </row>
    <row r="204" spans="5:23" x14ac:dyDescent="0.35"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5"/>
      <c r="Q204" s="5"/>
      <c r="R204" s="5"/>
      <c r="S204" s="5"/>
      <c r="T204" s="8"/>
      <c r="U204" s="5"/>
      <c r="V204" s="7"/>
      <c r="W204" s="6"/>
    </row>
    <row r="205" spans="5:23" x14ac:dyDescent="0.35"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5"/>
      <c r="Q205" s="5"/>
      <c r="R205" s="5"/>
      <c r="S205" s="5"/>
      <c r="T205" s="8"/>
      <c r="U205" s="5"/>
      <c r="V205" s="7"/>
      <c r="W205" s="6"/>
    </row>
    <row r="206" spans="5:23" x14ac:dyDescent="0.35"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5"/>
      <c r="Q206" s="5"/>
      <c r="R206" s="5"/>
      <c r="S206" s="5"/>
      <c r="T206" s="8"/>
      <c r="U206" s="5"/>
      <c r="V206" s="7"/>
      <c r="W206" s="6"/>
    </row>
    <row r="207" spans="5:23" x14ac:dyDescent="0.35"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5"/>
      <c r="Q207" s="5"/>
      <c r="R207" s="5"/>
      <c r="S207" s="5"/>
      <c r="T207" s="8"/>
      <c r="U207" s="5"/>
      <c r="V207" s="7"/>
      <c r="W207" s="6"/>
    </row>
    <row r="208" spans="5:23" x14ac:dyDescent="0.35"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5"/>
      <c r="Q208" s="5"/>
      <c r="R208" s="5"/>
      <c r="S208" s="5"/>
      <c r="T208" s="8"/>
      <c r="U208" s="5"/>
      <c r="V208" s="7"/>
      <c r="W208" s="6"/>
    </row>
    <row r="209" spans="5:23" x14ac:dyDescent="0.35"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5"/>
      <c r="Q209" s="5"/>
      <c r="R209" s="5"/>
      <c r="S209" s="5"/>
      <c r="T209" s="8"/>
      <c r="U209" s="5"/>
      <c r="V209" s="7"/>
      <c r="W209" s="6"/>
    </row>
    <row r="210" spans="5:23" x14ac:dyDescent="0.35"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5"/>
      <c r="Q210" s="5"/>
      <c r="R210" s="5"/>
      <c r="S210" s="5"/>
      <c r="T210" s="8"/>
      <c r="U210" s="5"/>
      <c r="V210" s="7"/>
      <c r="W210" s="6"/>
    </row>
    <row r="211" spans="5:23" x14ac:dyDescent="0.35"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5"/>
      <c r="Q211" s="5"/>
      <c r="R211" s="5"/>
      <c r="S211" s="5"/>
      <c r="T211" s="8"/>
      <c r="U211" s="5"/>
      <c r="V211" s="7"/>
      <c r="W211" s="6"/>
    </row>
    <row r="212" spans="5:23" x14ac:dyDescent="0.35"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5"/>
      <c r="Q212" s="5"/>
      <c r="R212" s="5"/>
      <c r="S212" s="5"/>
      <c r="T212" s="8"/>
      <c r="U212" s="5"/>
      <c r="V212" s="7"/>
      <c r="W212" s="6"/>
    </row>
    <row r="213" spans="5:23" x14ac:dyDescent="0.35"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5"/>
      <c r="Q213" s="5"/>
      <c r="R213" s="5"/>
      <c r="S213" s="5"/>
      <c r="T213" s="8"/>
      <c r="U213" s="5"/>
      <c r="V213" s="7"/>
      <c r="W213" s="6"/>
    </row>
    <row r="214" spans="5:23" x14ac:dyDescent="0.35"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5"/>
      <c r="Q214" s="5"/>
      <c r="R214" s="5"/>
      <c r="S214" s="5"/>
      <c r="T214" s="8"/>
      <c r="U214" s="5"/>
      <c r="V214" s="7"/>
      <c r="W214" s="6"/>
    </row>
    <row r="215" spans="5:23" x14ac:dyDescent="0.35"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5"/>
      <c r="Q215" s="5"/>
      <c r="R215" s="5"/>
      <c r="S215" s="5"/>
      <c r="T215" s="8"/>
      <c r="U215" s="5"/>
      <c r="V215" s="7"/>
      <c r="W215" s="6"/>
    </row>
    <row r="216" spans="5:23" x14ac:dyDescent="0.35"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5"/>
      <c r="Q216" s="5"/>
      <c r="R216" s="5"/>
      <c r="S216" s="5"/>
      <c r="T216" s="8"/>
      <c r="U216" s="5"/>
      <c r="V216" s="7"/>
      <c r="W216" s="6"/>
    </row>
    <row r="217" spans="5:23" x14ac:dyDescent="0.35"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5"/>
      <c r="Q217" s="5"/>
      <c r="R217" s="5"/>
      <c r="S217" s="5"/>
      <c r="T217" s="8"/>
      <c r="U217" s="5"/>
      <c r="V217" s="7"/>
      <c r="W217" s="6"/>
    </row>
    <row r="218" spans="5:23" x14ac:dyDescent="0.35"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5"/>
      <c r="Q218" s="5"/>
      <c r="R218" s="5"/>
      <c r="S218" s="5"/>
      <c r="T218" s="8"/>
      <c r="U218" s="5"/>
      <c r="V218" s="7"/>
      <c r="W218" s="6"/>
    </row>
    <row r="219" spans="5:23" x14ac:dyDescent="0.35"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5"/>
      <c r="Q219" s="5"/>
      <c r="R219" s="5"/>
      <c r="S219" s="5"/>
      <c r="T219" s="8"/>
      <c r="U219" s="5"/>
      <c r="V219" s="7"/>
      <c r="W219" s="6"/>
    </row>
    <row r="220" spans="5:23" x14ac:dyDescent="0.35"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5"/>
      <c r="Q220" s="5"/>
      <c r="R220" s="5"/>
      <c r="S220" s="5"/>
      <c r="T220" s="8"/>
      <c r="U220" s="5"/>
      <c r="V220" s="7"/>
      <c r="W220" s="6"/>
    </row>
    <row r="221" spans="5:23" x14ac:dyDescent="0.35"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5"/>
      <c r="Q221" s="5"/>
      <c r="R221" s="5"/>
      <c r="S221" s="5"/>
      <c r="T221" s="8"/>
      <c r="U221" s="5"/>
      <c r="V221" s="7"/>
      <c r="W221" s="6"/>
    </row>
    <row r="222" spans="5:23" x14ac:dyDescent="0.35"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5"/>
      <c r="Q222" s="5"/>
      <c r="R222" s="5"/>
      <c r="S222" s="5"/>
      <c r="T222" s="8"/>
      <c r="U222" s="5"/>
      <c r="V222" s="7"/>
      <c r="W222" s="6"/>
    </row>
    <row r="223" spans="5:23" x14ac:dyDescent="0.35"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5"/>
      <c r="Q223" s="5"/>
      <c r="R223" s="5"/>
      <c r="S223" s="5"/>
      <c r="T223" s="8"/>
      <c r="U223" s="5"/>
      <c r="V223" s="7"/>
      <c r="W223" s="6"/>
    </row>
    <row r="224" spans="5:23" x14ac:dyDescent="0.35"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5"/>
      <c r="Q224" s="5"/>
      <c r="R224" s="5"/>
      <c r="S224" s="5"/>
      <c r="T224" s="8"/>
      <c r="U224" s="5"/>
      <c r="V224" s="7"/>
      <c r="W224" s="6"/>
    </row>
    <row r="225" spans="5:23" x14ac:dyDescent="0.35"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5"/>
      <c r="Q225" s="5"/>
      <c r="R225" s="5"/>
      <c r="S225" s="5"/>
      <c r="T225" s="8"/>
      <c r="U225" s="5"/>
      <c r="V225" s="7"/>
      <c r="W225" s="6"/>
    </row>
    <row r="226" spans="5:23" x14ac:dyDescent="0.35"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5"/>
      <c r="Q226" s="5"/>
      <c r="R226" s="5"/>
      <c r="S226" s="5"/>
      <c r="T226" s="8"/>
      <c r="U226" s="5"/>
      <c r="V226" s="7"/>
      <c r="W226" s="6"/>
    </row>
    <row r="227" spans="5:23" x14ac:dyDescent="0.35"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5"/>
      <c r="Q227" s="5"/>
      <c r="R227" s="5"/>
      <c r="S227" s="5"/>
      <c r="T227" s="8"/>
      <c r="U227" s="5"/>
      <c r="V227" s="7"/>
      <c r="W227" s="6"/>
    </row>
    <row r="228" spans="5:23" x14ac:dyDescent="0.35"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5"/>
      <c r="Q228" s="5"/>
      <c r="R228" s="5"/>
      <c r="S228" s="5"/>
      <c r="T228" s="8"/>
      <c r="U228" s="5"/>
      <c r="V228" s="7"/>
      <c r="W228" s="6"/>
    </row>
    <row r="229" spans="5:23" x14ac:dyDescent="0.35"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5"/>
      <c r="Q229" s="5"/>
      <c r="R229" s="5"/>
      <c r="S229" s="5"/>
      <c r="T229" s="8"/>
      <c r="U229" s="5"/>
      <c r="V229" s="7"/>
      <c r="W229" s="6"/>
    </row>
    <row r="230" spans="5:23" x14ac:dyDescent="0.35"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5"/>
      <c r="Q230" s="5"/>
      <c r="R230" s="5"/>
      <c r="S230" s="5"/>
      <c r="T230" s="8"/>
      <c r="U230" s="5"/>
      <c r="V230" s="7"/>
      <c r="W230" s="6"/>
    </row>
    <row r="231" spans="5:23" x14ac:dyDescent="0.35"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5"/>
      <c r="Q231" s="5"/>
      <c r="R231" s="5"/>
      <c r="S231" s="5"/>
      <c r="T231" s="8"/>
      <c r="U231" s="5"/>
      <c r="V231" s="7"/>
      <c r="W231" s="6"/>
    </row>
    <row r="232" spans="5:23" x14ac:dyDescent="0.35"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5"/>
      <c r="Q232" s="5"/>
      <c r="R232" s="5"/>
      <c r="S232" s="5"/>
      <c r="T232" s="8"/>
      <c r="U232" s="5"/>
      <c r="V232" s="7"/>
      <c r="W232" s="6"/>
    </row>
    <row r="233" spans="5:23" x14ac:dyDescent="0.35"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5"/>
      <c r="Q233" s="5"/>
      <c r="R233" s="5"/>
      <c r="S233" s="5"/>
      <c r="T233" s="8"/>
      <c r="U233" s="5"/>
      <c r="V233" s="7"/>
      <c r="W233" s="6"/>
    </row>
    <row r="234" spans="5:23" x14ac:dyDescent="0.35"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5"/>
      <c r="Q234" s="5"/>
      <c r="R234" s="5"/>
      <c r="S234" s="5"/>
      <c r="T234" s="8"/>
      <c r="U234" s="5"/>
      <c r="V234" s="7"/>
      <c r="W234" s="6"/>
    </row>
    <row r="235" spans="5:23" x14ac:dyDescent="0.35"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5"/>
      <c r="Q235" s="5"/>
      <c r="R235" s="5"/>
      <c r="S235" s="5"/>
      <c r="T235" s="8"/>
      <c r="U235" s="5"/>
      <c r="V235" s="7"/>
      <c r="W235" s="6"/>
    </row>
    <row r="236" spans="5:23" x14ac:dyDescent="0.35"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5"/>
      <c r="Q236" s="5"/>
      <c r="R236" s="5"/>
      <c r="S236" s="5"/>
      <c r="T236" s="8"/>
      <c r="U236" s="5"/>
      <c r="V236" s="7"/>
      <c r="W236" s="6"/>
    </row>
    <row r="237" spans="5:23" x14ac:dyDescent="0.35"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5"/>
      <c r="Q237" s="5"/>
      <c r="R237" s="5"/>
      <c r="S237" s="5"/>
      <c r="T237" s="8"/>
      <c r="U237" s="5"/>
      <c r="V237" s="7"/>
      <c r="W237" s="6"/>
    </row>
    <row r="238" spans="5:23" x14ac:dyDescent="0.35"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5"/>
      <c r="Q238" s="5"/>
      <c r="R238" s="5"/>
      <c r="S238" s="5"/>
      <c r="T238" s="8"/>
      <c r="U238" s="5"/>
      <c r="V238" s="7"/>
      <c r="W238" s="6"/>
    </row>
    <row r="239" spans="5:23" x14ac:dyDescent="0.35"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5"/>
      <c r="Q239" s="5"/>
      <c r="R239" s="5"/>
      <c r="S239" s="5"/>
      <c r="T239" s="8"/>
      <c r="U239" s="5"/>
      <c r="V239" s="7"/>
      <c r="W239" s="6"/>
    </row>
    <row r="240" spans="5:23" x14ac:dyDescent="0.35"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5"/>
      <c r="Q240" s="5"/>
      <c r="R240" s="5"/>
      <c r="S240" s="5"/>
      <c r="T240" s="8"/>
      <c r="U240" s="5"/>
      <c r="V240" s="7"/>
      <c r="W240" s="6"/>
    </row>
    <row r="241" spans="5:23" x14ac:dyDescent="0.35"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5"/>
      <c r="Q241" s="5"/>
      <c r="R241" s="5"/>
      <c r="S241" s="5"/>
      <c r="T241" s="8"/>
      <c r="U241" s="5"/>
      <c r="V241" s="7"/>
      <c r="W241" s="6"/>
    </row>
    <row r="242" spans="5:23" x14ac:dyDescent="0.35"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5"/>
      <c r="Q242" s="5"/>
      <c r="R242" s="5"/>
      <c r="S242" s="5"/>
      <c r="T242" s="8"/>
      <c r="U242" s="5"/>
      <c r="V242" s="7"/>
      <c r="W242" s="6"/>
    </row>
    <row r="243" spans="5:23" x14ac:dyDescent="0.35"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5"/>
      <c r="Q243" s="5"/>
      <c r="R243" s="5"/>
      <c r="S243" s="5"/>
      <c r="T243" s="8"/>
      <c r="U243" s="5"/>
      <c r="V243" s="7"/>
      <c r="W243" s="6"/>
    </row>
    <row r="244" spans="5:23" x14ac:dyDescent="0.35"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5"/>
      <c r="Q244" s="5"/>
      <c r="R244" s="5"/>
      <c r="S244" s="5"/>
      <c r="T244" s="8"/>
      <c r="U244" s="5"/>
      <c r="V244" s="7"/>
      <c r="W244" s="6"/>
    </row>
    <row r="245" spans="5:23" x14ac:dyDescent="0.35"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5"/>
      <c r="Q245" s="5"/>
      <c r="R245" s="5"/>
      <c r="S245" s="5"/>
      <c r="T245" s="8"/>
      <c r="U245" s="5"/>
      <c r="V245" s="7"/>
      <c r="W245" s="6"/>
    </row>
    <row r="246" spans="5:23" x14ac:dyDescent="0.35"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5"/>
      <c r="Q246" s="5"/>
      <c r="R246" s="5"/>
      <c r="S246" s="5"/>
      <c r="T246" s="8"/>
      <c r="U246" s="5"/>
      <c r="V246" s="7"/>
      <c r="W246" s="6"/>
    </row>
    <row r="247" spans="5:23" x14ac:dyDescent="0.35"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5"/>
      <c r="Q247" s="5"/>
      <c r="R247" s="5"/>
      <c r="S247" s="5"/>
      <c r="T247" s="8"/>
      <c r="U247" s="5"/>
      <c r="V247" s="7"/>
      <c r="W247" s="6"/>
    </row>
    <row r="248" spans="5:23" x14ac:dyDescent="0.35"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5"/>
      <c r="Q248" s="5"/>
      <c r="R248" s="5"/>
      <c r="S248" s="5"/>
      <c r="T248" s="8"/>
      <c r="U248" s="5"/>
      <c r="V248" s="7"/>
      <c r="W248" s="6"/>
    </row>
    <row r="249" spans="5:23" x14ac:dyDescent="0.35"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5"/>
      <c r="Q249" s="5"/>
      <c r="R249" s="5"/>
      <c r="S249" s="5"/>
      <c r="T249" s="8"/>
      <c r="U249" s="5"/>
      <c r="V249" s="7"/>
      <c r="W249" s="6"/>
    </row>
    <row r="250" spans="5:23" x14ac:dyDescent="0.35"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5"/>
      <c r="Q250" s="5"/>
      <c r="R250" s="5"/>
      <c r="S250" s="5"/>
      <c r="T250" s="8"/>
      <c r="U250" s="5"/>
      <c r="V250" s="7"/>
      <c r="W250" s="6"/>
    </row>
    <row r="251" spans="5:23" x14ac:dyDescent="0.35"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5"/>
      <c r="Q251" s="5"/>
      <c r="R251" s="5"/>
      <c r="S251" s="5"/>
      <c r="T251" s="8"/>
      <c r="U251" s="5"/>
      <c r="V251" s="7"/>
      <c r="W251" s="6"/>
    </row>
    <row r="252" spans="5:23" x14ac:dyDescent="0.35"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5"/>
      <c r="Q252" s="5"/>
      <c r="R252" s="5"/>
      <c r="S252" s="5"/>
      <c r="T252" s="8"/>
      <c r="U252" s="5"/>
      <c r="V252" s="7"/>
      <c r="W252" s="6"/>
    </row>
    <row r="253" spans="5:23" x14ac:dyDescent="0.35"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5"/>
      <c r="Q253" s="5"/>
      <c r="R253" s="5"/>
      <c r="S253" s="5"/>
      <c r="T253" s="8"/>
      <c r="U253" s="5"/>
      <c r="V253" s="7"/>
      <c r="W253" s="6"/>
    </row>
    <row r="254" spans="5:23" x14ac:dyDescent="0.35"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5"/>
      <c r="Q254" s="5"/>
      <c r="R254" s="5"/>
      <c r="S254" s="5"/>
      <c r="T254" s="8"/>
      <c r="U254" s="5"/>
      <c r="V254" s="7"/>
      <c r="W254" s="6"/>
    </row>
    <row r="255" spans="5:23" x14ac:dyDescent="0.35"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5"/>
      <c r="Q255" s="5"/>
      <c r="R255" s="5"/>
      <c r="S255" s="5"/>
      <c r="T255" s="8"/>
      <c r="U255" s="5"/>
      <c r="V255" s="7"/>
      <c r="W255" s="6"/>
    </row>
    <row r="256" spans="5:23" x14ac:dyDescent="0.35"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5"/>
      <c r="Q256" s="5"/>
      <c r="R256" s="5"/>
      <c r="S256" s="5"/>
      <c r="T256" s="8"/>
      <c r="U256" s="5"/>
      <c r="V256" s="7"/>
      <c r="W256" s="6"/>
    </row>
    <row r="257" spans="5:23" x14ac:dyDescent="0.35"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5"/>
      <c r="Q257" s="5"/>
      <c r="R257" s="5"/>
      <c r="S257" s="5"/>
      <c r="T257" s="8"/>
      <c r="U257" s="5"/>
      <c r="V257" s="7"/>
      <c r="W257" s="6"/>
    </row>
    <row r="258" spans="5:23" x14ac:dyDescent="0.35"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5"/>
      <c r="Q258" s="5"/>
      <c r="R258" s="5"/>
      <c r="S258" s="5"/>
      <c r="T258" s="8"/>
      <c r="U258" s="5"/>
      <c r="V258" s="7"/>
      <c r="W258" s="6"/>
    </row>
    <row r="259" spans="5:23" x14ac:dyDescent="0.35"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5"/>
      <c r="Q259" s="5"/>
      <c r="R259" s="5"/>
      <c r="S259" s="5"/>
      <c r="T259" s="8"/>
      <c r="U259" s="5"/>
      <c r="V259" s="7"/>
      <c r="W259" s="6"/>
    </row>
    <row r="260" spans="5:23" x14ac:dyDescent="0.35"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5"/>
      <c r="Q260" s="5"/>
      <c r="R260" s="5"/>
      <c r="S260" s="5"/>
      <c r="T260" s="8"/>
      <c r="U260" s="5"/>
      <c r="V260" s="7"/>
      <c r="W260" s="6"/>
    </row>
    <row r="261" spans="5:23" x14ac:dyDescent="0.35"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5"/>
      <c r="Q261" s="5"/>
      <c r="R261" s="5"/>
      <c r="S261" s="5"/>
      <c r="T261" s="8"/>
      <c r="U261" s="5"/>
      <c r="V261" s="7"/>
      <c r="W261" s="6"/>
    </row>
    <row r="262" spans="5:23" x14ac:dyDescent="0.35"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5"/>
      <c r="Q262" s="5"/>
      <c r="R262" s="5"/>
      <c r="S262" s="5"/>
      <c r="T262" s="8"/>
      <c r="U262" s="5"/>
      <c r="V262" s="7"/>
      <c r="W262" s="6"/>
    </row>
    <row r="263" spans="5:23" x14ac:dyDescent="0.35"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5"/>
      <c r="Q263" s="5"/>
      <c r="R263" s="5"/>
      <c r="S263" s="5"/>
      <c r="T263" s="8"/>
      <c r="U263" s="5"/>
      <c r="V263" s="7"/>
      <c r="W263" s="6"/>
    </row>
    <row r="264" spans="5:23" x14ac:dyDescent="0.35"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5"/>
      <c r="Q264" s="5"/>
      <c r="R264" s="5"/>
      <c r="S264" s="5"/>
      <c r="T264" s="8"/>
      <c r="U264" s="5"/>
      <c r="V264" s="7"/>
      <c r="W264" s="6"/>
    </row>
    <row r="265" spans="5:23" x14ac:dyDescent="0.35"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5"/>
      <c r="Q265" s="5"/>
      <c r="R265" s="5"/>
      <c r="S265" s="5"/>
      <c r="T265" s="8"/>
      <c r="U265" s="5"/>
      <c r="V265" s="7"/>
      <c r="W265" s="6"/>
    </row>
    <row r="266" spans="5:23" x14ac:dyDescent="0.35"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5"/>
      <c r="Q266" s="5"/>
      <c r="R266" s="5"/>
      <c r="S266" s="5"/>
      <c r="T266" s="8"/>
      <c r="U266" s="5"/>
      <c r="V266" s="7"/>
      <c r="W266" s="6"/>
    </row>
    <row r="267" spans="5:23" x14ac:dyDescent="0.35"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5"/>
      <c r="Q267" s="5"/>
      <c r="R267" s="5"/>
      <c r="S267" s="5"/>
      <c r="T267" s="8"/>
      <c r="U267" s="5"/>
      <c r="V267" s="7"/>
      <c r="W267" s="6"/>
    </row>
    <row r="268" spans="5:23" x14ac:dyDescent="0.35"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5"/>
      <c r="Q268" s="5"/>
      <c r="R268" s="5"/>
      <c r="S268" s="5"/>
      <c r="T268" s="8"/>
      <c r="U268" s="5"/>
      <c r="V268" s="7"/>
      <c r="W268" s="6"/>
    </row>
    <row r="269" spans="5:23" x14ac:dyDescent="0.35"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5"/>
      <c r="Q269" s="5"/>
      <c r="R269" s="5"/>
      <c r="S269" s="5"/>
      <c r="T269" s="8"/>
      <c r="U269" s="5"/>
      <c r="V269" s="7"/>
      <c r="W269" s="6"/>
    </row>
    <row r="270" spans="5:23" x14ac:dyDescent="0.35"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5"/>
      <c r="Q270" s="5"/>
      <c r="R270" s="5"/>
      <c r="S270" s="5"/>
      <c r="T270" s="8"/>
      <c r="U270" s="5"/>
      <c r="V270" s="7"/>
      <c r="W270" s="6"/>
    </row>
    <row r="271" spans="5:23" x14ac:dyDescent="0.35"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5"/>
      <c r="Q271" s="5"/>
      <c r="R271" s="5"/>
      <c r="S271" s="5"/>
      <c r="T271" s="8"/>
      <c r="U271" s="5"/>
      <c r="V271" s="7"/>
      <c r="W271" s="6"/>
    </row>
    <row r="272" spans="5:23" x14ac:dyDescent="0.35"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5"/>
      <c r="Q272" s="5"/>
      <c r="R272" s="5"/>
      <c r="S272" s="5"/>
      <c r="T272" s="8"/>
      <c r="U272" s="5"/>
      <c r="V272" s="7"/>
      <c r="W272" s="6"/>
    </row>
    <row r="273" spans="5:23" x14ac:dyDescent="0.35"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5"/>
      <c r="Q273" s="5"/>
      <c r="R273" s="5"/>
      <c r="S273" s="5"/>
      <c r="T273" s="8"/>
      <c r="U273" s="5"/>
      <c r="V273" s="7"/>
      <c r="W273" s="6"/>
    </row>
    <row r="274" spans="5:23" x14ac:dyDescent="0.35"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5"/>
      <c r="Q274" s="5"/>
      <c r="R274" s="5"/>
      <c r="S274" s="5"/>
      <c r="T274" s="8"/>
      <c r="U274" s="5"/>
      <c r="V274" s="7"/>
      <c r="W274" s="6"/>
    </row>
    <row r="275" spans="5:23" x14ac:dyDescent="0.35"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5"/>
      <c r="Q275" s="5"/>
      <c r="R275" s="5"/>
      <c r="S275" s="5"/>
      <c r="T275" s="8"/>
      <c r="U275" s="5"/>
      <c r="V275" s="7"/>
      <c r="W275" s="6"/>
    </row>
    <row r="276" spans="5:23" x14ac:dyDescent="0.35"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5"/>
      <c r="Q276" s="5"/>
      <c r="R276" s="5"/>
      <c r="S276" s="5"/>
      <c r="T276" s="8"/>
      <c r="U276" s="5"/>
      <c r="V276" s="7"/>
      <c r="W276" s="6"/>
    </row>
    <row r="277" spans="5:23" x14ac:dyDescent="0.35"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5"/>
      <c r="Q277" s="5"/>
      <c r="R277" s="5"/>
      <c r="S277" s="5"/>
      <c r="T277" s="8"/>
      <c r="U277" s="5"/>
      <c r="V277" s="7"/>
      <c r="W277" s="6"/>
    </row>
    <row r="278" spans="5:23" x14ac:dyDescent="0.35"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5"/>
      <c r="Q278" s="5"/>
      <c r="R278" s="5"/>
      <c r="S278" s="5"/>
      <c r="T278" s="8"/>
      <c r="U278" s="5"/>
      <c r="V278" s="7"/>
      <c r="W278" s="6"/>
    </row>
    <row r="279" spans="5:23" x14ac:dyDescent="0.35"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5"/>
      <c r="Q279" s="5"/>
      <c r="R279" s="5"/>
      <c r="S279" s="5"/>
      <c r="T279" s="8"/>
      <c r="U279" s="5"/>
      <c r="V279" s="7"/>
      <c r="W279" s="6"/>
    </row>
    <row r="280" spans="5:23" x14ac:dyDescent="0.35"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5"/>
      <c r="Q280" s="5"/>
      <c r="R280" s="5"/>
      <c r="S280" s="5"/>
      <c r="T280" s="8"/>
      <c r="U280" s="5"/>
      <c r="V280" s="7"/>
      <c r="W280" s="6"/>
    </row>
    <row r="281" spans="5:23" x14ac:dyDescent="0.35"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5"/>
      <c r="Q281" s="5"/>
      <c r="R281" s="5"/>
      <c r="S281" s="5"/>
      <c r="T281" s="8"/>
      <c r="U281" s="5"/>
      <c r="V281" s="7"/>
      <c r="W281" s="6"/>
    </row>
    <row r="282" spans="5:23" x14ac:dyDescent="0.35"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5"/>
      <c r="Q282" s="5"/>
      <c r="R282" s="5"/>
      <c r="S282" s="5"/>
      <c r="T282" s="8"/>
      <c r="U282" s="5"/>
      <c r="V282" s="7"/>
      <c r="W282" s="6"/>
    </row>
    <row r="283" spans="5:23" x14ac:dyDescent="0.35"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5"/>
      <c r="Q283" s="5"/>
      <c r="R283" s="5"/>
      <c r="S283" s="5"/>
      <c r="T283" s="8"/>
      <c r="U283" s="5"/>
      <c r="V283" s="7"/>
      <c r="W283" s="6"/>
    </row>
    <row r="284" spans="5:23" x14ac:dyDescent="0.35"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5"/>
      <c r="Q284" s="5"/>
      <c r="R284" s="5"/>
      <c r="S284" s="5"/>
      <c r="T284" s="8"/>
      <c r="U284" s="5"/>
      <c r="V284" s="7"/>
      <c r="W284" s="6"/>
    </row>
    <row r="285" spans="5:23" x14ac:dyDescent="0.35"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5"/>
      <c r="Q285" s="5"/>
      <c r="R285" s="5"/>
      <c r="S285" s="5"/>
      <c r="T285" s="8"/>
      <c r="U285" s="5"/>
      <c r="V285" s="7"/>
      <c r="W285" s="6"/>
    </row>
    <row r="286" spans="5:23" x14ac:dyDescent="0.35"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5"/>
      <c r="Q286" s="5"/>
      <c r="R286" s="5"/>
      <c r="S286" s="5"/>
      <c r="T286" s="8"/>
      <c r="U286" s="5"/>
      <c r="V286" s="7"/>
      <c r="W286" s="6"/>
    </row>
    <row r="287" spans="5:23" x14ac:dyDescent="0.35"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5"/>
      <c r="Q287" s="5"/>
      <c r="R287" s="5"/>
      <c r="S287" s="5"/>
      <c r="T287" s="8"/>
      <c r="U287" s="5"/>
      <c r="V287" s="7"/>
      <c r="W287" s="6"/>
    </row>
    <row r="288" spans="5:23" x14ac:dyDescent="0.35"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5"/>
      <c r="Q288" s="5"/>
      <c r="R288" s="5"/>
      <c r="S288" s="5"/>
      <c r="T288" s="8"/>
      <c r="U288" s="5"/>
      <c r="V288" s="7"/>
      <c r="W288" s="6"/>
    </row>
    <row r="289" spans="5:23" x14ac:dyDescent="0.35"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5"/>
      <c r="Q289" s="5"/>
      <c r="R289" s="5"/>
      <c r="S289" s="5"/>
      <c r="T289" s="8"/>
      <c r="U289" s="5"/>
      <c r="V289" s="7"/>
      <c r="W289" s="6"/>
    </row>
    <row r="290" spans="5:23" x14ac:dyDescent="0.35"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5"/>
      <c r="Q290" s="5"/>
      <c r="R290" s="5"/>
      <c r="S290" s="5"/>
      <c r="T290" s="8"/>
      <c r="U290" s="5"/>
      <c r="V290" s="7"/>
      <c r="W290" s="6"/>
    </row>
    <row r="291" spans="5:23" x14ac:dyDescent="0.35"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5"/>
      <c r="Q291" s="5"/>
      <c r="R291" s="5"/>
      <c r="S291" s="5"/>
      <c r="T291" s="8"/>
      <c r="U291" s="5"/>
      <c r="V291" s="7"/>
      <c r="W291" s="6"/>
    </row>
    <row r="292" spans="5:23" x14ac:dyDescent="0.35"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5"/>
      <c r="Q292" s="5"/>
      <c r="R292" s="5"/>
      <c r="S292" s="5"/>
      <c r="T292" s="8"/>
      <c r="U292" s="5"/>
      <c r="V292" s="7"/>
      <c r="W292" s="6"/>
    </row>
    <row r="293" spans="5:23" x14ac:dyDescent="0.35"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5"/>
      <c r="Q293" s="5"/>
      <c r="R293" s="5"/>
      <c r="S293" s="5"/>
      <c r="T293" s="8"/>
      <c r="U293" s="5"/>
      <c r="V293" s="7"/>
      <c r="W293" s="6"/>
    </row>
    <row r="294" spans="5:23" x14ac:dyDescent="0.35"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5"/>
      <c r="Q294" s="5"/>
      <c r="R294" s="5"/>
      <c r="S294" s="5"/>
      <c r="T294" s="8"/>
      <c r="U294" s="5"/>
      <c r="V294" s="7"/>
      <c r="W294" s="6"/>
    </row>
    <row r="295" spans="5:23" x14ac:dyDescent="0.35"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5"/>
      <c r="Q295" s="5"/>
      <c r="R295" s="5"/>
      <c r="S295" s="5"/>
      <c r="T295" s="8"/>
      <c r="U295" s="5"/>
      <c r="V295" s="7"/>
      <c r="W295" s="6"/>
    </row>
    <row r="296" spans="5:23" x14ac:dyDescent="0.35"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5"/>
      <c r="Q296" s="5"/>
      <c r="R296" s="5"/>
      <c r="S296" s="5"/>
      <c r="T296" s="8"/>
      <c r="U296" s="5"/>
      <c r="V296" s="7"/>
      <c r="W296" s="6"/>
    </row>
    <row r="297" spans="5:23" x14ac:dyDescent="0.35"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5"/>
      <c r="Q297" s="5"/>
      <c r="R297" s="5"/>
      <c r="S297" s="5"/>
      <c r="T297" s="8"/>
      <c r="U297" s="5"/>
      <c r="V297" s="7"/>
      <c r="W297" s="6"/>
    </row>
    <row r="298" spans="5:23" x14ac:dyDescent="0.35"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5"/>
      <c r="Q298" s="5"/>
      <c r="R298" s="5"/>
      <c r="S298" s="5"/>
      <c r="T298" s="8"/>
      <c r="U298" s="5"/>
      <c r="V298" s="7"/>
      <c r="W298" s="6"/>
    </row>
    <row r="299" spans="5:23" x14ac:dyDescent="0.35"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5"/>
      <c r="Q299" s="5"/>
      <c r="R299" s="5"/>
      <c r="S299" s="5"/>
      <c r="T299" s="8"/>
      <c r="U299" s="5"/>
      <c r="V299" s="7"/>
      <c r="W299" s="6"/>
    </row>
    <row r="300" spans="5:23" x14ac:dyDescent="0.35"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5"/>
      <c r="Q300" s="5"/>
      <c r="R300" s="5"/>
      <c r="S300" s="5"/>
      <c r="T300" s="8"/>
      <c r="U300" s="5"/>
      <c r="V300" s="7"/>
      <c r="W300" s="6"/>
    </row>
    <row r="301" spans="5:23" x14ac:dyDescent="0.35"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5"/>
      <c r="Q301" s="5"/>
      <c r="R301" s="5"/>
      <c r="S301" s="5"/>
      <c r="T301" s="8"/>
      <c r="U301" s="5"/>
      <c r="V301" s="7"/>
      <c r="W301" s="6"/>
    </row>
    <row r="302" spans="5:23" x14ac:dyDescent="0.35"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5"/>
      <c r="Q302" s="5"/>
      <c r="R302" s="5"/>
      <c r="S302" s="5"/>
      <c r="T302" s="8"/>
      <c r="U302" s="5"/>
      <c r="V302" s="7"/>
      <c r="W302" s="6"/>
    </row>
    <row r="303" spans="5:23" x14ac:dyDescent="0.35"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5"/>
      <c r="Q303" s="5"/>
      <c r="R303" s="5"/>
      <c r="S303" s="5"/>
      <c r="T303" s="8"/>
      <c r="U303" s="5"/>
      <c r="V303" s="7"/>
      <c r="W303" s="6"/>
    </row>
    <row r="304" spans="5:23" x14ac:dyDescent="0.35"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5"/>
      <c r="Q304" s="5"/>
      <c r="R304" s="5"/>
      <c r="S304" s="5"/>
      <c r="T304" s="8"/>
      <c r="U304" s="5"/>
      <c r="V304" s="7"/>
      <c r="W304" s="6"/>
    </row>
    <row r="305" spans="5:23" x14ac:dyDescent="0.35"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5"/>
      <c r="Q305" s="5"/>
      <c r="R305" s="5"/>
      <c r="S305" s="5"/>
      <c r="T305" s="8"/>
      <c r="U305" s="5"/>
      <c r="V305" s="7"/>
      <c r="W305" s="6"/>
    </row>
    <row r="306" spans="5:23" x14ac:dyDescent="0.35"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5"/>
      <c r="Q306" s="5"/>
      <c r="R306" s="5"/>
      <c r="S306" s="5"/>
      <c r="T306" s="8"/>
      <c r="U306" s="5"/>
      <c r="V306" s="7"/>
      <c r="W306" s="6"/>
    </row>
    <row r="307" spans="5:23" x14ac:dyDescent="0.35"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5"/>
      <c r="Q307" s="5"/>
      <c r="R307" s="5"/>
      <c r="S307" s="5"/>
      <c r="T307" s="8"/>
      <c r="U307" s="5"/>
      <c r="V307" s="7"/>
      <c r="W307" s="6"/>
    </row>
    <row r="308" spans="5:23" x14ac:dyDescent="0.35"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5"/>
      <c r="Q308" s="5"/>
      <c r="R308" s="5"/>
      <c r="S308" s="5"/>
      <c r="T308" s="8"/>
      <c r="U308" s="5"/>
      <c r="V308" s="7"/>
      <c r="W308" s="6"/>
    </row>
    <row r="309" spans="5:23" x14ac:dyDescent="0.35"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5"/>
      <c r="Q309" s="5"/>
      <c r="R309" s="5"/>
      <c r="S309" s="5"/>
      <c r="T309" s="8"/>
      <c r="U309" s="5"/>
      <c r="V309" s="7"/>
      <c r="W309" s="6"/>
    </row>
    <row r="310" spans="5:23" x14ac:dyDescent="0.35"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5"/>
      <c r="Q310" s="5"/>
      <c r="R310" s="5"/>
      <c r="S310" s="5"/>
      <c r="T310" s="8"/>
      <c r="U310" s="5"/>
      <c r="V310" s="7"/>
      <c r="W310" s="6"/>
    </row>
    <row r="311" spans="5:23" x14ac:dyDescent="0.35"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5"/>
      <c r="Q311" s="5"/>
      <c r="R311" s="5"/>
      <c r="S311" s="5"/>
      <c r="T311" s="8"/>
      <c r="U311" s="5"/>
      <c r="V311" s="7"/>
      <c r="W311" s="6"/>
    </row>
    <row r="312" spans="5:23" x14ac:dyDescent="0.35"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5"/>
      <c r="Q312" s="5"/>
      <c r="R312" s="5"/>
      <c r="S312" s="5"/>
      <c r="T312" s="8"/>
      <c r="U312" s="5"/>
      <c r="V312" s="7"/>
      <c r="W312" s="6"/>
    </row>
    <row r="313" spans="5:23" x14ac:dyDescent="0.35"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5"/>
      <c r="Q313" s="5"/>
      <c r="R313" s="5"/>
      <c r="S313" s="5"/>
      <c r="T313" s="8"/>
      <c r="U313" s="5"/>
      <c r="V313" s="7"/>
      <c r="W313" s="6"/>
    </row>
    <row r="314" spans="5:23" x14ac:dyDescent="0.35"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5"/>
      <c r="Q314" s="5"/>
      <c r="R314" s="5"/>
      <c r="S314" s="5"/>
      <c r="T314" s="8"/>
      <c r="U314" s="5"/>
      <c r="V314" s="7"/>
      <c r="W314" s="6"/>
    </row>
    <row r="315" spans="5:23" x14ac:dyDescent="0.35"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5"/>
      <c r="Q315" s="5"/>
      <c r="R315" s="5"/>
      <c r="S315" s="5"/>
      <c r="T315" s="8"/>
      <c r="U315" s="5"/>
      <c r="V315" s="7"/>
      <c r="W315" s="6"/>
    </row>
    <row r="316" spans="5:23" x14ac:dyDescent="0.35"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5"/>
      <c r="Q316" s="5"/>
      <c r="R316" s="5"/>
      <c r="S316" s="5"/>
      <c r="T316" s="8"/>
      <c r="U316" s="5"/>
      <c r="V316" s="7"/>
      <c r="W316" s="6"/>
    </row>
    <row r="317" spans="5:23" x14ac:dyDescent="0.35"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5"/>
      <c r="Q317" s="5"/>
      <c r="R317" s="5"/>
      <c r="S317" s="5"/>
      <c r="T317" s="8"/>
      <c r="U317" s="5"/>
      <c r="V317" s="7"/>
      <c r="W317" s="6"/>
    </row>
    <row r="318" spans="5:23" x14ac:dyDescent="0.35"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5"/>
      <c r="Q318" s="5"/>
      <c r="R318" s="5"/>
      <c r="S318" s="5"/>
      <c r="T318" s="8"/>
      <c r="U318" s="5"/>
      <c r="V318" s="7"/>
      <c r="W318" s="6"/>
    </row>
    <row r="319" spans="5:23" x14ac:dyDescent="0.35"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5"/>
      <c r="Q319" s="5"/>
      <c r="R319" s="5"/>
      <c r="S319" s="5"/>
      <c r="T319" s="8"/>
      <c r="U319" s="5"/>
      <c r="V319" s="7"/>
      <c r="W319" s="6"/>
    </row>
    <row r="320" spans="5:23" x14ac:dyDescent="0.35"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5"/>
      <c r="Q320" s="5"/>
      <c r="R320" s="5"/>
      <c r="S320" s="5"/>
      <c r="T320" s="8"/>
      <c r="U320" s="5"/>
      <c r="V320" s="7"/>
      <c r="W320" s="6"/>
    </row>
    <row r="321" spans="5:23" x14ac:dyDescent="0.35"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5"/>
      <c r="Q321" s="5"/>
      <c r="R321" s="5"/>
      <c r="S321" s="5"/>
      <c r="T321" s="8"/>
      <c r="U321" s="5"/>
      <c r="V321" s="7"/>
      <c r="W321" s="6"/>
    </row>
    <row r="322" spans="5:23" x14ac:dyDescent="0.35"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5"/>
      <c r="Q322" s="5"/>
      <c r="R322" s="5"/>
      <c r="S322" s="5"/>
      <c r="T322" s="8"/>
      <c r="U322" s="5"/>
      <c r="V322" s="7"/>
      <c r="W322" s="6"/>
    </row>
    <row r="323" spans="5:23" x14ac:dyDescent="0.35"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5"/>
      <c r="Q323" s="5"/>
      <c r="R323" s="5"/>
      <c r="S323" s="5"/>
      <c r="T323" s="8"/>
      <c r="U323" s="5"/>
      <c r="V323" s="7"/>
      <c r="W323" s="6"/>
    </row>
    <row r="324" spans="5:23" x14ac:dyDescent="0.35"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5"/>
      <c r="Q324" s="5"/>
      <c r="R324" s="5"/>
      <c r="S324" s="5"/>
      <c r="T324" s="8"/>
      <c r="U324" s="5"/>
      <c r="V324" s="7"/>
      <c r="W324" s="6"/>
    </row>
    <row r="325" spans="5:23" x14ac:dyDescent="0.35"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5"/>
      <c r="Q325" s="5"/>
      <c r="R325" s="5"/>
      <c r="S325" s="5"/>
      <c r="T325" s="8"/>
      <c r="U325" s="5"/>
      <c r="V325" s="7"/>
      <c r="W325" s="6"/>
    </row>
    <row r="326" spans="5:23" x14ac:dyDescent="0.35"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5"/>
      <c r="Q326" s="5"/>
      <c r="R326" s="5"/>
      <c r="S326" s="5"/>
      <c r="T326" s="8"/>
      <c r="U326" s="5"/>
      <c r="V326" s="7"/>
      <c r="W326" s="6"/>
    </row>
    <row r="327" spans="5:23" x14ac:dyDescent="0.35"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5"/>
      <c r="Q327" s="5"/>
      <c r="R327" s="5"/>
      <c r="S327" s="5"/>
      <c r="T327" s="8"/>
      <c r="U327" s="5"/>
      <c r="V327" s="7"/>
      <c r="W327" s="6"/>
    </row>
    <row r="328" spans="5:23" x14ac:dyDescent="0.35"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5"/>
      <c r="Q328" s="5"/>
      <c r="R328" s="5"/>
      <c r="S328" s="5"/>
      <c r="T328" s="8"/>
      <c r="U328" s="5"/>
      <c r="V328" s="7"/>
      <c r="W328" s="6"/>
    </row>
    <row r="329" spans="5:23" x14ac:dyDescent="0.35"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5"/>
      <c r="Q329" s="5"/>
      <c r="R329" s="5"/>
      <c r="S329" s="5"/>
      <c r="T329" s="8"/>
      <c r="U329" s="5"/>
      <c r="V329" s="7"/>
      <c r="W329" s="6"/>
    </row>
    <row r="330" spans="5:23" x14ac:dyDescent="0.35"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5"/>
      <c r="Q330" s="5"/>
      <c r="R330" s="5"/>
      <c r="S330" s="5"/>
      <c r="T330" s="8"/>
      <c r="U330" s="5"/>
      <c r="V330" s="7"/>
      <c r="W330" s="6"/>
    </row>
    <row r="331" spans="5:23" x14ac:dyDescent="0.35"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5"/>
      <c r="Q331" s="5"/>
      <c r="R331" s="5"/>
      <c r="S331" s="5"/>
      <c r="T331" s="8"/>
      <c r="U331" s="5"/>
      <c r="V331" s="7"/>
      <c r="W331" s="6"/>
    </row>
    <row r="332" spans="5:23" x14ac:dyDescent="0.35"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5"/>
      <c r="Q332" s="5"/>
      <c r="R332" s="5"/>
      <c r="S332" s="5"/>
      <c r="T332" s="8"/>
      <c r="U332" s="5"/>
      <c r="V332" s="7"/>
      <c r="W332" s="6"/>
    </row>
    <row r="333" spans="5:23" x14ac:dyDescent="0.35"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5"/>
      <c r="Q333" s="5"/>
      <c r="R333" s="5"/>
      <c r="S333" s="5"/>
      <c r="T333" s="8"/>
      <c r="U333" s="5"/>
      <c r="V333" s="7"/>
      <c r="W333" s="6"/>
    </row>
    <row r="334" spans="5:23" x14ac:dyDescent="0.35"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5"/>
      <c r="Q334" s="5"/>
      <c r="R334" s="5"/>
      <c r="S334" s="5"/>
      <c r="T334" s="8"/>
      <c r="U334" s="5"/>
      <c r="V334" s="7"/>
      <c r="W334" s="6"/>
    </row>
    <row r="335" spans="5:23" x14ac:dyDescent="0.35"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5"/>
      <c r="Q335" s="5"/>
      <c r="R335" s="5"/>
      <c r="S335" s="5"/>
      <c r="T335" s="8"/>
      <c r="U335" s="5"/>
      <c r="V335" s="7"/>
      <c r="W335" s="6"/>
    </row>
    <row r="336" spans="5:23" x14ac:dyDescent="0.35"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5"/>
      <c r="Q336" s="5"/>
      <c r="R336" s="5"/>
      <c r="S336" s="5"/>
      <c r="T336" s="8"/>
      <c r="U336" s="5"/>
      <c r="V336" s="7"/>
      <c r="W336" s="6"/>
    </row>
    <row r="337" spans="5:23" x14ac:dyDescent="0.35"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5"/>
      <c r="Q337" s="5"/>
      <c r="R337" s="5"/>
      <c r="S337" s="5"/>
      <c r="T337" s="8"/>
      <c r="U337" s="5"/>
      <c r="V337" s="7"/>
      <c r="W337" s="6"/>
    </row>
    <row r="338" spans="5:23" x14ac:dyDescent="0.35"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5"/>
      <c r="Q338" s="5"/>
      <c r="R338" s="5"/>
      <c r="S338" s="5"/>
      <c r="T338" s="8"/>
      <c r="U338" s="5"/>
      <c r="V338" s="7"/>
      <c r="W338" s="6"/>
    </row>
    <row r="339" spans="5:23" x14ac:dyDescent="0.35"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5"/>
      <c r="Q339" s="5"/>
      <c r="R339" s="5"/>
      <c r="S339" s="5"/>
      <c r="T339" s="8"/>
      <c r="U339" s="5"/>
      <c r="V339" s="7"/>
      <c r="W339" s="6"/>
    </row>
    <row r="340" spans="5:23" x14ac:dyDescent="0.35"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5"/>
      <c r="Q340" s="5"/>
      <c r="R340" s="5"/>
      <c r="S340" s="5"/>
      <c r="T340" s="8"/>
      <c r="U340" s="5"/>
      <c r="V340" s="7"/>
      <c r="W340" s="6"/>
    </row>
    <row r="341" spans="5:23" x14ac:dyDescent="0.35"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5"/>
      <c r="Q341" s="5"/>
      <c r="R341" s="5"/>
      <c r="S341" s="5"/>
      <c r="T341" s="8"/>
      <c r="U341" s="5"/>
      <c r="V341" s="7"/>
      <c r="W341" s="6"/>
    </row>
    <row r="342" spans="5:23" x14ac:dyDescent="0.35"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5"/>
      <c r="Q342" s="5"/>
      <c r="R342" s="5"/>
      <c r="S342" s="5"/>
      <c r="T342" s="8"/>
      <c r="U342" s="5"/>
      <c r="V342" s="7"/>
      <c r="W342" s="6"/>
    </row>
    <row r="343" spans="5:23" x14ac:dyDescent="0.35"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5"/>
      <c r="Q343" s="5"/>
      <c r="R343" s="5"/>
      <c r="S343" s="5"/>
      <c r="T343" s="8"/>
      <c r="U343" s="5"/>
      <c r="V343" s="7"/>
      <c r="W343" s="6"/>
    </row>
    <row r="344" spans="5:23" x14ac:dyDescent="0.35"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5"/>
      <c r="Q344" s="5"/>
      <c r="R344" s="5"/>
      <c r="S344" s="5"/>
      <c r="T344" s="8"/>
      <c r="U344" s="5"/>
      <c r="V344" s="7"/>
      <c r="W344" s="6"/>
    </row>
    <row r="345" spans="5:23" x14ac:dyDescent="0.35"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5"/>
      <c r="Q345" s="5"/>
      <c r="R345" s="5"/>
      <c r="S345" s="5"/>
      <c r="T345" s="8"/>
      <c r="U345" s="5"/>
      <c r="V345" s="7"/>
      <c r="W345" s="6"/>
    </row>
    <row r="346" spans="5:23" x14ac:dyDescent="0.35"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5"/>
      <c r="Q346" s="5"/>
      <c r="R346" s="5"/>
      <c r="S346" s="5"/>
      <c r="T346" s="8"/>
      <c r="U346" s="5"/>
      <c r="V346" s="7"/>
      <c r="W346" s="6"/>
    </row>
    <row r="347" spans="5:23" x14ac:dyDescent="0.35"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5"/>
      <c r="Q347" s="5"/>
      <c r="R347" s="5"/>
      <c r="S347" s="5"/>
      <c r="T347" s="8"/>
      <c r="U347" s="5"/>
      <c r="V347" s="7"/>
      <c r="W347" s="6"/>
    </row>
    <row r="348" spans="5:23" x14ac:dyDescent="0.35"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5"/>
      <c r="Q348" s="5"/>
      <c r="R348" s="5"/>
      <c r="S348" s="5"/>
      <c r="T348" s="8"/>
      <c r="U348" s="5"/>
      <c r="V348" s="7"/>
      <c r="W348" s="6"/>
    </row>
    <row r="349" spans="5:23" x14ac:dyDescent="0.35"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5"/>
      <c r="Q349" s="5"/>
      <c r="R349" s="5"/>
      <c r="S349" s="5"/>
      <c r="T349" s="8"/>
      <c r="U349" s="5"/>
      <c r="V349" s="7"/>
      <c r="W349" s="6"/>
    </row>
    <row r="350" spans="5:23" x14ac:dyDescent="0.35"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5"/>
      <c r="Q350" s="5"/>
      <c r="R350" s="5"/>
      <c r="S350" s="5"/>
      <c r="T350" s="8"/>
      <c r="U350" s="5"/>
      <c r="V350" s="7"/>
      <c r="W350" s="6"/>
    </row>
    <row r="351" spans="5:23" x14ac:dyDescent="0.35"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5"/>
      <c r="Q351" s="5"/>
      <c r="R351" s="5"/>
      <c r="S351" s="5"/>
      <c r="T351" s="8"/>
      <c r="U351" s="5"/>
      <c r="V351" s="7"/>
      <c r="W351" s="6"/>
    </row>
    <row r="352" spans="5:23" x14ac:dyDescent="0.35"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5"/>
      <c r="Q352" s="5"/>
      <c r="R352" s="5"/>
      <c r="S352" s="5"/>
      <c r="T352" s="8"/>
      <c r="U352" s="5"/>
      <c r="V352" s="7"/>
      <c r="W352" s="6"/>
    </row>
    <row r="353" spans="5:23" x14ac:dyDescent="0.35"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5"/>
      <c r="Q353" s="5"/>
      <c r="R353" s="5"/>
      <c r="S353" s="5"/>
      <c r="T353" s="8"/>
      <c r="U353" s="5"/>
      <c r="V353" s="7"/>
      <c r="W353" s="6"/>
    </row>
    <row r="354" spans="5:23" x14ac:dyDescent="0.35"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5"/>
      <c r="Q354" s="5"/>
      <c r="R354" s="5"/>
      <c r="S354" s="5"/>
      <c r="T354" s="8"/>
      <c r="U354" s="5"/>
      <c r="V354" s="7"/>
      <c r="W354" s="6"/>
    </row>
    <row r="355" spans="5:23" x14ac:dyDescent="0.35"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5"/>
      <c r="Q355" s="5"/>
      <c r="R355" s="5"/>
      <c r="S355" s="5"/>
      <c r="T355" s="8"/>
      <c r="U355" s="5"/>
      <c r="V355" s="7"/>
      <c r="W355" s="6"/>
    </row>
    <row r="356" spans="5:23" x14ac:dyDescent="0.35"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5"/>
      <c r="Q356" s="5"/>
      <c r="R356" s="5"/>
      <c r="S356" s="5"/>
      <c r="T356" s="8"/>
      <c r="U356" s="5"/>
      <c r="V356" s="7"/>
      <c r="W356" s="6"/>
    </row>
    <row r="357" spans="5:23" x14ac:dyDescent="0.35"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5"/>
      <c r="Q357" s="5"/>
      <c r="R357" s="5"/>
      <c r="S357" s="5"/>
      <c r="T357" s="8"/>
      <c r="U357" s="5"/>
      <c r="V357" s="7"/>
      <c r="W357" s="6"/>
    </row>
    <row r="358" spans="5:23" x14ac:dyDescent="0.35"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5"/>
      <c r="Q358" s="5"/>
      <c r="R358" s="5"/>
      <c r="S358" s="5"/>
      <c r="T358" s="8"/>
      <c r="U358" s="5"/>
      <c r="V358" s="7"/>
      <c r="W358" s="6"/>
    </row>
    <row r="359" spans="5:23" x14ac:dyDescent="0.35"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5"/>
      <c r="Q359" s="5"/>
      <c r="R359" s="5"/>
      <c r="S359" s="5"/>
      <c r="T359" s="8"/>
      <c r="U359" s="5"/>
      <c r="V359" s="7"/>
      <c r="W359" s="6"/>
    </row>
    <row r="360" spans="5:23" x14ac:dyDescent="0.35"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5"/>
      <c r="Q360" s="5"/>
      <c r="R360" s="5"/>
      <c r="S360" s="5"/>
      <c r="T360" s="8"/>
      <c r="U360" s="5"/>
      <c r="V360" s="7"/>
      <c r="W360" s="6"/>
    </row>
    <row r="361" spans="5:23" x14ac:dyDescent="0.35"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5"/>
      <c r="Q361" s="5"/>
      <c r="R361" s="5"/>
      <c r="S361" s="5"/>
      <c r="T361" s="8"/>
      <c r="U361" s="5"/>
      <c r="V361" s="7"/>
      <c r="W361" s="6"/>
    </row>
    <row r="362" spans="5:23" x14ac:dyDescent="0.35"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5"/>
      <c r="Q362" s="5"/>
      <c r="R362" s="5"/>
      <c r="S362" s="5"/>
      <c r="T362" s="8"/>
      <c r="U362" s="5"/>
      <c r="V362" s="7"/>
      <c r="W362" s="6"/>
    </row>
    <row r="363" spans="5:23" x14ac:dyDescent="0.35"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5"/>
      <c r="Q363" s="5"/>
      <c r="R363" s="5"/>
      <c r="S363" s="5"/>
      <c r="T363" s="8"/>
      <c r="U363" s="5"/>
      <c r="V363" s="7"/>
      <c r="W363" s="6"/>
    </row>
    <row r="364" spans="5:23" x14ac:dyDescent="0.35"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5"/>
      <c r="Q364" s="5"/>
      <c r="R364" s="5"/>
      <c r="S364" s="5"/>
      <c r="T364" s="8"/>
      <c r="U364" s="5"/>
      <c r="V364" s="7"/>
      <c r="W364" s="6"/>
    </row>
    <row r="365" spans="5:23" x14ac:dyDescent="0.35"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5"/>
      <c r="Q365" s="5"/>
      <c r="R365" s="5"/>
      <c r="S365" s="5"/>
      <c r="T365" s="8"/>
      <c r="U365" s="5"/>
      <c r="V365" s="7"/>
      <c r="W365" s="6"/>
    </row>
    <row r="366" spans="5:23" x14ac:dyDescent="0.35"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5"/>
      <c r="Q366" s="5"/>
      <c r="R366" s="5"/>
      <c r="S366" s="5"/>
      <c r="T366" s="8"/>
      <c r="U366" s="5"/>
      <c r="V366" s="7"/>
      <c r="W366" s="6"/>
    </row>
    <row r="367" spans="5:23" x14ac:dyDescent="0.35"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5"/>
      <c r="Q367" s="5"/>
      <c r="R367" s="5"/>
      <c r="S367" s="5"/>
      <c r="T367" s="8"/>
      <c r="U367" s="5"/>
      <c r="V367" s="7"/>
      <c r="W367" s="6"/>
    </row>
    <row r="368" spans="5:23" x14ac:dyDescent="0.35"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5"/>
      <c r="Q368" s="5"/>
      <c r="R368" s="5"/>
      <c r="S368" s="5"/>
      <c r="T368" s="8"/>
      <c r="U368" s="5"/>
      <c r="V368" s="7"/>
      <c r="W368" s="6"/>
    </row>
    <row r="369" spans="5:23" x14ac:dyDescent="0.35"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5"/>
      <c r="Q369" s="5"/>
      <c r="R369" s="5"/>
      <c r="S369" s="5"/>
      <c r="T369" s="8"/>
      <c r="U369" s="5"/>
      <c r="V369" s="7"/>
      <c r="W369" s="6"/>
    </row>
    <row r="370" spans="5:23" x14ac:dyDescent="0.35"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5"/>
      <c r="Q370" s="5"/>
      <c r="R370" s="5"/>
      <c r="S370" s="5"/>
      <c r="T370" s="8"/>
      <c r="U370" s="5"/>
      <c r="V370" s="7"/>
      <c r="W370" s="6"/>
    </row>
    <row r="371" spans="5:23" x14ac:dyDescent="0.35"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5"/>
      <c r="Q371" s="5"/>
      <c r="R371" s="5"/>
      <c r="S371" s="5"/>
      <c r="T371" s="8"/>
      <c r="U371" s="5"/>
      <c r="V371" s="7"/>
      <c r="W371" s="6"/>
    </row>
    <row r="372" spans="5:23" x14ac:dyDescent="0.35"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5"/>
      <c r="Q372" s="5"/>
      <c r="R372" s="5"/>
      <c r="S372" s="5"/>
      <c r="T372" s="8"/>
      <c r="U372" s="5"/>
      <c r="V372" s="7"/>
      <c r="W372" s="6"/>
    </row>
    <row r="373" spans="5:23" x14ac:dyDescent="0.35"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5"/>
      <c r="Q373" s="5"/>
      <c r="R373" s="5"/>
      <c r="S373" s="5"/>
      <c r="T373" s="8"/>
      <c r="U373" s="5"/>
      <c r="V373" s="7"/>
      <c r="W373" s="6"/>
    </row>
    <row r="374" spans="5:23" x14ac:dyDescent="0.35"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5"/>
      <c r="Q374" s="5"/>
      <c r="R374" s="5"/>
      <c r="S374" s="5"/>
      <c r="T374" s="8"/>
      <c r="U374" s="5"/>
      <c r="V374" s="7"/>
      <c r="W374" s="6"/>
    </row>
    <row r="375" spans="5:23" x14ac:dyDescent="0.35"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5"/>
      <c r="Q375" s="5"/>
      <c r="R375" s="5"/>
      <c r="S375" s="5"/>
      <c r="T375" s="8"/>
      <c r="U375" s="5"/>
      <c r="V375" s="7"/>
      <c r="W375" s="6"/>
    </row>
    <row r="376" spans="5:23" x14ac:dyDescent="0.35"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5"/>
      <c r="Q376" s="5"/>
      <c r="R376" s="5"/>
      <c r="S376" s="5"/>
      <c r="T376" s="8"/>
      <c r="U376" s="5"/>
      <c r="V376" s="7"/>
      <c r="W376" s="6"/>
    </row>
    <row r="377" spans="5:23" x14ac:dyDescent="0.35"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5"/>
      <c r="Q377" s="5"/>
      <c r="R377" s="5"/>
      <c r="S377" s="5"/>
      <c r="T377" s="8"/>
      <c r="U377" s="5"/>
      <c r="V377" s="7"/>
      <c r="W377" s="6"/>
    </row>
    <row r="378" spans="5:23" x14ac:dyDescent="0.35"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5"/>
      <c r="Q378" s="5"/>
      <c r="R378" s="5"/>
      <c r="S378" s="5"/>
      <c r="T378" s="8"/>
      <c r="U378" s="5"/>
      <c r="V378" s="7"/>
      <c r="W378" s="6"/>
    </row>
    <row r="379" spans="5:23" x14ac:dyDescent="0.35"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5"/>
      <c r="Q379" s="5"/>
      <c r="R379" s="5"/>
      <c r="S379" s="5"/>
      <c r="T379" s="8"/>
      <c r="U379" s="5"/>
      <c r="V379" s="7"/>
      <c r="W379" s="6"/>
    </row>
    <row r="380" spans="5:23" x14ac:dyDescent="0.35"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5"/>
      <c r="Q380" s="5"/>
      <c r="R380" s="5"/>
      <c r="S380" s="5"/>
      <c r="T380" s="8"/>
      <c r="U380" s="5"/>
      <c r="V380" s="7"/>
      <c r="W380" s="6"/>
    </row>
    <row r="381" spans="5:23" x14ac:dyDescent="0.35"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5"/>
      <c r="Q381" s="5"/>
      <c r="R381" s="5"/>
      <c r="S381" s="5"/>
      <c r="T381" s="8"/>
      <c r="U381" s="5"/>
      <c r="V381" s="7"/>
      <c r="W381" s="6"/>
    </row>
    <row r="382" spans="5:23" x14ac:dyDescent="0.35"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5"/>
      <c r="Q382" s="5"/>
      <c r="R382" s="5"/>
      <c r="S382" s="5"/>
      <c r="T382" s="8"/>
      <c r="U382" s="5"/>
      <c r="V382" s="7"/>
      <c r="W382" s="6"/>
    </row>
    <row r="383" spans="5:23" x14ac:dyDescent="0.35"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5"/>
      <c r="Q383" s="5"/>
      <c r="R383" s="5"/>
      <c r="S383" s="5"/>
      <c r="T383" s="8"/>
      <c r="U383" s="5"/>
      <c r="V383" s="7"/>
      <c r="W383" s="6"/>
    </row>
    <row r="384" spans="5:23" x14ac:dyDescent="0.35"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5"/>
      <c r="Q384" s="5"/>
      <c r="R384" s="5"/>
      <c r="S384" s="5"/>
      <c r="T384" s="8"/>
      <c r="U384" s="5"/>
      <c r="V384" s="7"/>
      <c r="W384" s="6"/>
    </row>
    <row r="385" spans="5:23" x14ac:dyDescent="0.35"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5"/>
      <c r="Q385" s="5"/>
      <c r="R385" s="5"/>
      <c r="S385" s="5"/>
      <c r="T385" s="8"/>
      <c r="U385" s="5"/>
      <c r="V385" s="7"/>
      <c r="W385" s="6"/>
    </row>
    <row r="386" spans="5:23" x14ac:dyDescent="0.35"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5"/>
      <c r="Q386" s="5"/>
      <c r="R386" s="5"/>
      <c r="S386" s="5"/>
      <c r="T386" s="8"/>
      <c r="U386" s="5"/>
      <c r="V386" s="7"/>
      <c r="W386" s="6"/>
    </row>
    <row r="387" spans="5:23" x14ac:dyDescent="0.35"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5"/>
      <c r="Q387" s="5"/>
      <c r="R387" s="5"/>
      <c r="S387" s="5"/>
      <c r="T387" s="8"/>
      <c r="U387" s="5"/>
      <c r="V387" s="7"/>
      <c r="W387" s="6"/>
    </row>
    <row r="388" spans="5:23" x14ac:dyDescent="0.35"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5"/>
      <c r="Q388" s="5"/>
      <c r="R388" s="5"/>
      <c r="S388" s="5"/>
      <c r="T388" s="8"/>
      <c r="U388" s="5"/>
      <c r="V388" s="7"/>
      <c r="W388" s="6"/>
    </row>
    <row r="389" spans="5:23" x14ac:dyDescent="0.35"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5"/>
      <c r="Q389" s="5"/>
      <c r="R389" s="5"/>
      <c r="S389" s="5"/>
      <c r="T389" s="8"/>
      <c r="U389" s="5"/>
      <c r="V389" s="7"/>
      <c r="W389" s="6"/>
    </row>
    <row r="390" spans="5:23" x14ac:dyDescent="0.35"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5"/>
      <c r="Q390" s="5"/>
      <c r="R390" s="5"/>
      <c r="S390" s="5"/>
      <c r="T390" s="8"/>
      <c r="U390" s="5"/>
      <c r="V390" s="7"/>
      <c r="W390" s="6"/>
    </row>
    <row r="391" spans="5:23" x14ac:dyDescent="0.35"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5"/>
      <c r="Q391" s="5"/>
      <c r="R391" s="5"/>
      <c r="S391" s="5"/>
      <c r="T391" s="8"/>
      <c r="U391" s="5"/>
      <c r="V391" s="7"/>
      <c r="W391" s="6"/>
    </row>
    <row r="392" spans="5:23" x14ac:dyDescent="0.35"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5"/>
      <c r="Q392" s="5"/>
      <c r="R392" s="5"/>
      <c r="S392" s="5"/>
      <c r="T392" s="8"/>
      <c r="U392" s="5"/>
      <c r="V392" s="7"/>
      <c r="W392" s="6"/>
    </row>
    <row r="393" spans="5:23" x14ac:dyDescent="0.35"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5"/>
      <c r="Q393" s="5"/>
      <c r="R393" s="5"/>
      <c r="S393" s="5"/>
      <c r="T393" s="8"/>
      <c r="U393" s="5"/>
      <c r="V393" s="7"/>
      <c r="W393" s="6"/>
    </row>
    <row r="394" spans="5:23" x14ac:dyDescent="0.35"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5"/>
      <c r="Q394" s="5"/>
      <c r="R394" s="5"/>
      <c r="S394" s="5"/>
      <c r="T394" s="8"/>
      <c r="U394" s="5"/>
      <c r="V394" s="7"/>
      <c r="W394" s="6"/>
    </row>
    <row r="395" spans="5:23" x14ac:dyDescent="0.35"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5"/>
      <c r="Q395" s="5"/>
      <c r="R395" s="5"/>
      <c r="S395" s="5"/>
      <c r="T395" s="8"/>
      <c r="U395" s="5"/>
      <c r="V395" s="7"/>
      <c r="W395" s="6"/>
    </row>
    <row r="396" spans="5:23" x14ac:dyDescent="0.35"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5"/>
      <c r="Q396" s="5"/>
      <c r="R396" s="5"/>
      <c r="S396" s="5"/>
      <c r="T396" s="8"/>
      <c r="U396" s="5"/>
      <c r="V396" s="7"/>
      <c r="W396" s="6"/>
    </row>
    <row r="397" spans="5:23" x14ac:dyDescent="0.35"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5"/>
      <c r="Q397" s="5"/>
      <c r="R397" s="5"/>
      <c r="S397" s="5"/>
      <c r="T397" s="8"/>
      <c r="U397" s="5"/>
      <c r="V397" s="7"/>
      <c r="W397" s="6"/>
    </row>
    <row r="398" spans="5:23" x14ac:dyDescent="0.35"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5"/>
      <c r="Q398" s="5"/>
      <c r="R398" s="5"/>
      <c r="S398" s="5"/>
      <c r="T398" s="8"/>
      <c r="U398" s="5"/>
      <c r="V398" s="7"/>
      <c r="W398" s="6"/>
    </row>
    <row r="399" spans="5:23" x14ac:dyDescent="0.35"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5"/>
      <c r="Q399" s="5"/>
      <c r="R399" s="5"/>
      <c r="S399" s="5"/>
      <c r="T399" s="8"/>
      <c r="U399" s="5"/>
      <c r="V399" s="7"/>
      <c r="W399" s="6"/>
    </row>
    <row r="400" spans="5:23" x14ac:dyDescent="0.35"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5"/>
      <c r="Q400" s="5"/>
      <c r="R400" s="5"/>
      <c r="S400" s="5"/>
      <c r="T400" s="8"/>
      <c r="U400" s="5"/>
      <c r="V400" s="7"/>
      <c r="W400" s="6"/>
    </row>
    <row r="401" spans="5:23" x14ac:dyDescent="0.35"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5"/>
      <c r="Q401" s="5"/>
      <c r="R401" s="5"/>
      <c r="S401" s="5"/>
      <c r="T401" s="8"/>
      <c r="U401" s="5"/>
      <c r="V401" s="7"/>
      <c r="W401" s="6"/>
    </row>
    <row r="402" spans="5:23" x14ac:dyDescent="0.35"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5"/>
      <c r="Q402" s="5"/>
      <c r="R402" s="5"/>
      <c r="S402" s="5"/>
      <c r="T402" s="8"/>
      <c r="U402" s="5"/>
      <c r="V402" s="7"/>
      <c r="W402" s="6"/>
    </row>
    <row r="403" spans="5:23" x14ac:dyDescent="0.35"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5"/>
      <c r="Q403" s="5"/>
      <c r="R403" s="5"/>
      <c r="S403" s="5"/>
      <c r="T403" s="8"/>
      <c r="U403" s="5"/>
      <c r="V403" s="7"/>
      <c r="W403" s="6"/>
    </row>
    <row r="404" spans="5:23" x14ac:dyDescent="0.35"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5"/>
      <c r="Q404" s="5"/>
      <c r="R404" s="5"/>
      <c r="S404" s="5"/>
      <c r="T404" s="8"/>
      <c r="U404" s="5"/>
      <c r="V404" s="7"/>
      <c r="W404" s="6"/>
    </row>
    <row r="405" spans="5:23" x14ac:dyDescent="0.35"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5"/>
      <c r="Q405" s="5"/>
      <c r="R405" s="5"/>
      <c r="S405" s="5"/>
      <c r="T405" s="8"/>
      <c r="U405" s="5"/>
      <c r="V405" s="7"/>
      <c r="W405" s="6"/>
    </row>
    <row r="406" spans="5:23" x14ac:dyDescent="0.35"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5"/>
      <c r="Q406" s="5"/>
      <c r="R406" s="5"/>
      <c r="S406" s="5"/>
      <c r="T406" s="8"/>
      <c r="U406" s="5"/>
      <c r="V406" s="7"/>
      <c r="W406" s="6"/>
    </row>
    <row r="407" spans="5:23" x14ac:dyDescent="0.35"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5"/>
      <c r="Q407" s="5"/>
      <c r="R407" s="5"/>
      <c r="S407" s="5"/>
      <c r="T407" s="8"/>
      <c r="U407" s="5"/>
      <c r="V407" s="7"/>
      <c r="W407" s="6"/>
    </row>
    <row r="408" spans="5:23" x14ac:dyDescent="0.35"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5"/>
      <c r="Q408" s="5"/>
      <c r="R408" s="5"/>
      <c r="S408" s="5"/>
      <c r="T408" s="8"/>
      <c r="U408" s="5"/>
      <c r="V408" s="7"/>
      <c r="W408" s="6"/>
    </row>
    <row r="409" spans="5:23" x14ac:dyDescent="0.35"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5"/>
      <c r="Q409" s="5"/>
      <c r="R409" s="5"/>
      <c r="S409" s="5"/>
      <c r="T409" s="8"/>
      <c r="U409" s="5"/>
      <c r="V409" s="7"/>
      <c r="W409" s="6"/>
    </row>
    <row r="410" spans="5:23" x14ac:dyDescent="0.35"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5"/>
      <c r="Q410" s="5"/>
      <c r="R410" s="5"/>
      <c r="S410" s="5"/>
      <c r="T410" s="8"/>
      <c r="U410" s="5"/>
      <c r="V410" s="7"/>
      <c r="W410" s="6"/>
    </row>
    <row r="411" spans="5:23" x14ac:dyDescent="0.35"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5"/>
      <c r="Q411" s="5"/>
      <c r="R411" s="5"/>
      <c r="S411" s="5"/>
      <c r="T411" s="8"/>
      <c r="U411" s="5"/>
      <c r="V411" s="7"/>
      <c r="W411" s="6"/>
    </row>
    <row r="412" spans="5:23" x14ac:dyDescent="0.35"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5"/>
      <c r="Q412" s="5"/>
      <c r="R412" s="5"/>
      <c r="S412" s="5"/>
      <c r="T412" s="8"/>
      <c r="U412" s="5"/>
      <c r="V412" s="7"/>
      <c r="W412" s="6"/>
    </row>
    <row r="413" spans="5:23" x14ac:dyDescent="0.35"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5"/>
      <c r="Q413" s="5"/>
      <c r="R413" s="5"/>
      <c r="S413" s="5"/>
      <c r="T413" s="8"/>
      <c r="U413" s="5"/>
      <c r="V413" s="7"/>
      <c r="W413" s="6"/>
    </row>
    <row r="414" spans="5:23" x14ac:dyDescent="0.35"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5"/>
      <c r="Q414" s="5"/>
      <c r="R414" s="5"/>
      <c r="S414" s="5"/>
      <c r="T414" s="8"/>
      <c r="U414" s="5"/>
      <c r="V414" s="7"/>
      <c r="W414" s="6"/>
    </row>
    <row r="415" spans="5:23" x14ac:dyDescent="0.35"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5"/>
      <c r="Q415" s="5"/>
      <c r="R415" s="5"/>
      <c r="S415" s="5"/>
      <c r="T415" s="8"/>
      <c r="U415" s="5"/>
      <c r="V415" s="7"/>
      <c r="W415" s="6"/>
    </row>
    <row r="416" spans="5:23" x14ac:dyDescent="0.35"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5"/>
      <c r="Q416" s="5"/>
      <c r="R416" s="5"/>
      <c r="S416" s="5"/>
      <c r="T416" s="8"/>
      <c r="U416" s="5"/>
      <c r="V416" s="7"/>
      <c r="W416" s="6"/>
    </row>
    <row r="417" spans="5:23" x14ac:dyDescent="0.35"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5"/>
      <c r="Q417" s="5"/>
      <c r="R417" s="5"/>
      <c r="S417" s="5"/>
      <c r="T417" s="8"/>
      <c r="U417" s="5"/>
      <c r="V417" s="7"/>
      <c r="W417" s="6"/>
    </row>
    <row r="418" spans="5:23" x14ac:dyDescent="0.35"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5"/>
      <c r="Q418" s="5"/>
      <c r="R418" s="5"/>
      <c r="S418" s="5"/>
      <c r="T418" s="8"/>
      <c r="U418" s="5"/>
      <c r="V418" s="7"/>
      <c r="W418" s="6"/>
    </row>
    <row r="419" spans="5:23" x14ac:dyDescent="0.35"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5"/>
      <c r="Q419" s="5"/>
      <c r="R419" s="5"/>
      <c r="S419" s="5"/>
      <c r="T419" s="8"/>
      <c r="U419" s="5"/>
      <c r="V419" s="7"/>
      <c r="W419" s="6"/>
    </row>
    <row r="420" spans="5:23" x14ac:dyDescent="0.35"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5"/>
      <c r="Q420" s="5"/>
      <c r="R420" s="5"/>
      <c r="S420" s="5"/>
      <c r="T420" s="8"/>
      <c r="U420" s="5"/>
      <c r="V420" s="7"/>
      <c r="W420" s="6"/>
    </row>
    <row r="421" spans="5:23" x14ac:dyDescent="0.35"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5"/>
      <c r="Q421" s="5"/>
      <c r="R421" s="5"/>
      <c r="S421" s="5"/>
      <c r="T421" s="8"/>
      <c r="U421" s="5"/>
      <c r="V421" s="7"/>
      <c r="W421" s="6"/>
    </row>
    <row r="422" spans="5:23" x14ac:dyDescent="0.35"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5"/>
      <c r="Q422" s="5"/>
      <c r="R422" s="5"/>
      <c r="S422" s="5"/>
      <c r="T422" s="8"/>
      <c r="U422" s="5"/>
      <c r="V422" s="7"/>
      <c r="W422" s="6"/>
    </row>
    <row r="423" spans="5:23" x14ac:dyDescent="0.35"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5"/>
      <c r="Q423" s="5"/>
      <c r="R423" s="5"/>
      <c r="S423" s="5"/>
      <c r="T423" s="8"/>
      <c r="U423" s="5"/>
      <c r="V423" s="7"/>
      <c r="W423" s="6"/>
    </row>
    <row r="424" spans="5:23" x14ac:dyDescent="0.35"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5"/>
      <c r="Q424" s="5"/>
      <c r="R424" s="5"/>
      <c r="S424" s="5"/>
      <c r="T424" s="8"/>
      <c r="U424" s="5"/>
      <c r="V424" s="7"/>
      <c r="W424" s="6"/>
    </row>
    <row r="425" spans="5:23" x14ac:dyDescent="0.35"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5"/>
      <c r="Q425" s="5"/>
      <c r="R425" s="5"/>
      <c r="S425" s="5"/>
      <c r="T425" s="8"/>
      <c r="U425" s="5"/>
      <c r="V425" s="7"/>
      <c r="W425" s="6"/>
    </row>
    <row r="426" spans="5:23" x14ac:dyDescent="0.35"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5"/>
      <c r="Q426" s="5"/>
      <c r="R426" s="5"/>
      <c r="S426" s="5"/>
      <c r="T426" s="8"/>
      <c r="U426" s="5"/>
      <c r="V426" s="7"/>
      <c r="W426" s="6"/>
    </row>
    <row r="427" spans="5:23" x14ac:dyDescent="0.35"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5"/>
      <c r="Q427" s="5"/>
      <c r="R427" s="5"/>
      <c r="S427" s="5"/>
      <c r="T427" s="8"/>
      <c r="U427" s="5"/>
      <c r="V427" s="7"/>
      <c r="W427" s="6"/>
    </row>
    <row r="428" spans="5:23" x14ac:dyDescent="0.35"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5"/>
      <c r="Q428" s="5"/>
      <c r="R428" s="5"/>
      <c r="S428" s="5"/>
      <c r="T428" s="8"/>
      <c r="U428" s="5"/>
      <c r="V428" s="7"/>
      <c r="W428" s="6"/>
    </row>
    <row r="429" spans="5:23" x14ac:dyDescent="0.35"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5"/>
      <c r="Q429" s="5"/>
      <c r="R429" s="5"/>
      <c r="S429" s="5"/>
      <c r="T429" s="8"/>
      <c r="U429" s="5"/>
      <c r="V429" s="7"/>
      <c r="W429" s="6"/>
    </row>
    <row r="430" spans="5:23" x14ac:dyDescent="0.35"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5"/>
      <c r="Q430" s="5"/>
      <c r="R430" s="5"/>
      <c r="S430" s="5"/>
      <c r="T430" s="8"/>
      <c r="U430" s="5"/>
      <c r="V430" s="7"/>
      <c r="W430" s="6"/>
    </row>
    <row r="431" spans="5:23" x14ac:dyDescent="0.35"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5"/>
      <c r="Q431" s="5"/>
      <c r="R431" s="5"/>
      <c r="S431" s="5"/>
      <c r="T431" s="8"/>
      <c r="U431" s="5"/>
      <c r="V431" s="7"/>
      <c r="W431" s="6"/>
    </row>
    <row r="432" spans="5:23" x14ac:dyDescent="0.35"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5"/>
      <c r="Q432" s="5"/>
      <c r="R432" s="5"/>
      <c r="S432" s="5"/>
      <c r="T432" s="8"/>
      <c r="U432" s="5"/>
      <c r="V432" s="7"/>
      <c r="W432" s="6"/>
    </row>
    <row r="433" spans="5:23" x14ac:dyDescent="0.35"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5"/>
      <c r="Q433" s="5"/>
      <c r="R433" s="5"/>
      <c r="S433" s="5"/>
      <c r="T433" s="8"/>
      <c r="U433" s="5"/>
      <c r="V433" s="7"/>
      <c r="W433" s="6"/>
    </row>
    <row r="434" spans="5:23" x14ac:dyDescent="0.35"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5"/>
      <c r="Q434" s="5"/>
      <c r="R434" s="5"/>
      <c r="S434" s="5"/>
      <c r="T434" s="8"/>
      <c r="U434" s="5"/>
      <c r="V434" s="7"/>
      <c r="W434" s="6"/>
    </row>
    <row r="435" spans="5:23" x14ac:dyDescent="0.35"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5"/>
      <c r="Q435" s="5"/>
      <c r="R435" s="5"/>
      <c r="S435" s="5"/>
      <c r="T435" s="8"/>
      <c r="U435" s="5"/>
      <c r="V435" s="7"/>
      <c r="W435" s="6"/>
    </row>
    <row r="436" spans="5:23" x14ac:dyDescent="0.35"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5"/>
      <c r="Q436" s="5"/>
      <c r="R436" s="5"/>
      <c r="S436" s="5"/>
      <c r="T436" s="8"/>
      <c r="U436" s="5"/>
      <c r="V436" s="7"/>
      <c r="W436" s="6"/>
    </row>
    <row r="437" spans="5:23" x14ac:dyDescent="0.35"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5"/>
      <c r="Q437" s="5"/>
      <c r="R437" s="5"/>
      <c r="S437" s="5"/>
      <c r="T437" s="8"/>
      <c r="U437" s="5"/>
      <c r="V437" s="7"/>
      <c r="W437" s="6"/>
    </row>
    <row r="438" spans="5:23" x14ac:dyDescent="0.35"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5"/>
      <c r="Q438" s="5"/>
      <c r="R438" s="5"/>
      <c r="S438" s="5"/>
      <c r="T438" s="8"/>
      <c r="U438" s="5"/>
      <c r="V438" s="7"/>
      <c r="W438" s="6"/>
    </row>
    <row r="439" spans="5:23" x14ac:dyDescent="0.35"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5"/>
      <c r="Q439" s="5"/>
      <c r="R439" s="5"/>
      <c r="S439" s="5"/>
      <c r="T439" s="8"/>
      <c r="U439" s="5"/>
      <c r="V439" s="7"/>
      <c r="W439" s="6"/>
    </row>
    <row r="440" spans="5:23" x14ac:dyDescent="0.35"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5"/>
      <c r="Q440" s="5"/>
      <c r="R440" s="5"/>
      <c r="S440" s="5"/>
      <c r="T440" s="8"/>
      <c r="U440" s="5"/>
      <c r="V440" s="7"/>
      <c r="W440" s="6"/>
    </row>
    <row r="441" spans="5:23" x14ac:dyDescent="0.35"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5"/>
      <c r="Q441" s="5"/>
      <c r="R441" s="5"/>
      <c r="S441" s="5"/>
      <c r="T441" s="8"/>
      <c r="U441" s="5"/>
      <c r="V441" s="7"/>
      <c r="W441" s="6"/>
    </row>
    <row r="442" spans="5:23" x14ac:dyDescent="0.35"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5"/>
      <c r="Q442" s="5"/>
      <c r="R442" s="5"/>
      <c r="S442" s="5"/>
      <c r="T442" s="8"/>
      <c r="U442" s="5"/>
      <c r="V442" s="7"/>
      <c r="W442" s="6"/>
    </row>
    <row r="443" spans="5:23" x14ac:dyDescent="0.35"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5"/>
      <c r="Q443" s="5"/>
      <c r="R443" s="5"/>
      <c r="S443" s="5"/>
      <c r="T443" s="8"/>
      <c r="U443" s="5"/>
      <c r="V443" s="7"/>
      <c r="W443" s="6"/>
    </row>
    <row r="444" spans="5:23" x14ac:dyDescent="0.35"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5"/>
      <c r="Q444" s="5"/>
      <c r="R444" s="5"/>
      <c r="S444" s="5"/>
      <c r="T444" s="8"/>
      <c r="U444" s="5"/>
      <c r="V444" s="7"/>
      <c r="W444" s="6"/>
    </row>
    <row r="445" spans="5:23" x14ac:dyDescent="0.35"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5"/>
      <c r="Q445" s="5"/>
      <c r="R445" s="5"/>
      <c r="S445" s="5"/>
      <c r="T445" s="8"/>
      <c r="U445" s="5"/>
      <c r="V445" s="7"/>
      <c r="W445" s="6"/>
    </row>
    <row r="446" spans="5:23" x14ac:dyDescent="0.35"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5"/>
      <c r="Q446" s="5"/>
      <c r="R446" s="5"/>
      <c r="S446" s="5"/>
      <c r="T446" s="8"/>
      <c r="U446" s="5"/>
      <c r="V446" s="7"/>
      <c r="W446" s="6"/>
    </row>
    <row r="447" spans="5:23" x14ac:dyDescent="0.35"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5"/>
      <c r="Q447" s="5"/>
      <c r="R447" s="5"/>
      <c r="S447" s="5"/>
      <c r="T447" s="8"/>
      <c r="U447" s="5"/>
      <c r="V447" s="7"/>
      <c r="W447" s="6"/>
    </row>
    <row r="448" spans="5:23" x14ac:dyDescent="0.35"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5"/>
      <c r="Q448" s="5"/>
      <c r="R448" s="5"/>
      <c r="S448" s="5"/>
      <c r="T448" s="8"/>
      <c r="U448" s="5"/>
      <c r="V448" s="7"/>
      <c r="W448" s="6"/>
    </row>
    <row r="449" spans="5:23" x14ac:dyDescent="0.35"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5"/>
      <c r="Q449" s="5"/>
      <c r="R449" s="5"/>
      <c r="S449" s="5"/>
      <c r="T449" s="8"/>
      <c r="U449" s="5"/>
      <c r="V449" s="7"/>
      <c r="W449" s="6"/>
    </row>
    <row r="450" spans="5:23" x14ac:dyDescent="0.35"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5"/>
      <c r="Q450" s="5"/>
      <c r="R450" s="5"/>
      <c r="S450" s="5"/>
      <c r="T450" s="8"/>
      <c r="U450" s="5"/>
      <c r="V450" s="7"/>
      <c r="W450" s="6"/>
    </row>
    <row r="451" spans="5:23" x14ac:dyDescent="0.35"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5"/>
      <c r="Q451" s="5"/>
      <c r="R451" s="5"/>
      <c r="S451" s="5"/>
      <c r="T451" s="8"/>
      <c r="U451" s="5"/>
      <c r="V451" s="7"/>
      <c r="W451" s="6"/>
    </row>
    <row r="452" spans="5:23" x14ac:dyDescent="0.35"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5"/>
      <c r="Q452" s="5"/>
      <c r="R452" s="5"/>
      <c r="S452" s="5"/>
      <c r="T452" s="8"/>
      <c r="U452" s="5"/>
      <c r="V452" s="7"/>
      <c r="W452" s="6"/>
    </row>
    <row r="453" spans="5:23" x14ac:dyDescent="0.35"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5"/>
      <c r="Q453" s="5"/>
      <c r="R453" s="5"/>
      <c r="S453" s="5"/>
      <c r="T453" s="8"/>
      <c r="U453" s="5"/>
      <c r="V453" s="7"/>
      <c r="W453" s="6"/>
    </row>
    <row r="454" spans="5:23" x14ac:dyDescent="0.35"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5"/>
      <c r="Q454" s="5"/>
      <c r="R454" s="5"/>
      <c r="S454" s="5"/>
      <c r="T454" s="8"/>
      <c r="U454" s="5"/>
      <c r="V454" s="7"/>
      <c r="W454" s="6"/>
    </row>
    <row r="455" spans="5:23" x14ac:dyDescent="0.35"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5"/>
      <c r="Q455" s="5"/>
      <c r="R455" s="5"/>
      <c r="S455" s="5"/>
      <c r="T455" s="8"/>
      <c r="U455" s="5"/>
      <c r="V455" s="7"/>
      <c r="W455" s="6"/>
    </row>
    <row r="456" spans="5:23" x14ac:dyDescent="0.35"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5"/>
      <c r="Q456" s="5"/>
      <c r="R456" s="5"/>
      <c r="S456" s="5"/>
      <c r="T456" s="8"/>
      <c r="U456" s="5"/>
      <c r="V456" s="7"/>
      <c r="W456" s="6"/>
    </row>
    <row r="457" spans="5:23" x14ac:dyDescent="0.35"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5"/>
      <c r="Q457" s="5"/>
      <c r="R457" s="5"/>
      <c r="S457" s="5"/>
      <c r="T457" s="8"/>
      <c r="U457" s="5"/>
      <c r="V457" s="7"/>
      <c r="W457" s="6"/>
    </row>
    <row r="458" spans="5:23" x14ac:dyDescent="0.35"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5"/>
      <c r="Q458" s="5"/>
      <c r="R458" s="5"/>
      <c r="S458" s="5"/>
      <c r="T458" s="8"/>
      <c r="U458" s="5"/>
      <c r="V458" s="7"/>
      <c r="W458" s="6"/>
    </row>
    <row r="459" spans="5:23" x14ac:dyDescent="0.35"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5"/>
      <c r="Q459" s="5"/>
      <c r="R459" s="5"/>
      <c r="S459" s="5"/>
      <c r="T459" s="8"/>
      <c r="U459" s="5"/>
      <c r="V459" s="7"/>
      <c r="W459" s="6"/>
    </row>
    <row r="460" spans="5:23" x14ac:dyDescent="0.35"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5"/>
      <c r="Q460" s="5"/>
      <c r="R460" s="5"/>
      <c r="S460" s="5"/>
      <c r="T460" s="8"/>
      <c r="U460" s="5"/>
      <c r="V460" s="7"/>
      <c r="W460" s="6"/>
    </row>
    <row r="461" spans="5:23" x14ac:dyDescent="0.35"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5"/>
      <c r="Q461" s="5"/>
      <c r="R461" s="5"/>
      <c r="S461" s="5"/>
      <c r="T461" s="8"/>
      <c r="U461" s="5"/>
      <c r="V461" s="7"/>
      <c r="W461" s="6"/>
    </row>
    <row r="462" spans="5:23" x14ac:dyDescent="0.35"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5"/>
      <c r="Q462" s="5"/>
      <c r="R462" s="5"/>
      <c r="S462" s="5"/>
      <c r="T462" s="8"/>
      <c r="U462" s="5"/>
      <c r="V462" s="7"/>
      <c r="W462" s="6"/>
    </row>
    <row r="463" spans="5:23" x14ac:dyDescent="0.35"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5"/>
      <c r="Q463" s="5"/>
      <c r="R463" s="5"/>
      <c r="S463" s="5"/>
      <c r="T463" s="8"/>
      <c r="U463" s="5"/>
      <c r="V463" s="7"/>
      <c r="W463" s="6"/>
    </row>
    <row r="464" spans="5:23" x14ac:dyDescent="0.35"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5"/>
      <c r="Q464" s="5"/>
      <c r="R464" s="5"/>
      <c r="S464" s="5"/>
      <c r="T464" s="8"/>
      <c r="U464" s="5"/>
      <c r="V464" s="7"/>
      <c r="W464" s="6"/>
    </row>
    <row r="465" spans="5:23" x14ac:dyDescent="0.35"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5"/>
      <c r="Q465" s="5"/>
      <c r="R465" s="5"/>
      <c r="S465" s="5"/>
      <c r="T465" s="8"/>
      <c r="U465" s="5"/>
      <c r="V465" s="7"/>
      <c r="W465" s="6"/>
    </row>
    <row r="466" spans="5:23" x14ac:dyDescent="0.35"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5"/>
      <c r="Q466" s="5"/>
      <c r="R466" s="5"/>
      <c r="S466" s="5"/>
      <c r="T466" s="8"/>
      <c r="U466" s="5"/>
      <c r="V466" s="7"/>
      <c r="W466" s="6"/>
    </row>
    <row r="467" spans="5:23" x14ac:dyDescent="0.35"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5"/>
      <c r="Q467" s="5"/>
      <c r="R467" s="5"/>
      <c r="S467" s="5"/>
      <c r="T467" s="8"/>
      <c r="U467" s="5"/>
      <c r="V467" s="7"/>
      <c r="W467" s="6"/>
    </row>
    <row r="468" spans="5:23" x14ac:dyDescent="0.35"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5"/>
      <c r="Q468" s="5"/>
      <c r="R468" s="5"/>
      <c r="S468" s="5"/>
      <c r="T468" s="8"/>
      <c r="U468" s="5"/>
      <c r="V468" s="7"/>
      <c r="W468" s="6"/>
    </row>
    <row r="469" spans="5:23" x14ac:dyDescent="0.35"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5"/>
      <c r="Q469" s="5"/>
      <c r="R469" s="5"/>
      <c r="S469" s="5"/>
      <c r="T469" s="8"/>
      <c r="U469" s="5"/>
      <c r="V469" s="7"/>
      <c r="W469" s="6"/>
    </row>
    <row r="470" spans="5:23" x14ac:dyDescent="0.35"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5"/>
      <c r="Q470" s="5"/>
      <c r="R470" s="5"/>
      <c r="S470" s="5"/>
      <c r="T470" s="8"/>
      <c r="U470" s="5"/>
      <c r="V470" s="7"/>
      <c r="W470" s="6"/>
    </row>
    <row r="471" spans="5:23" x14ac:dyDescent="0.35"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5"/>
      <c r="Q471" s="5"/>
      <c r="R471" s="5"/>
      <c r="S471" s="5"/>
      <c r="T471" s="8"/>
      <c r="U471" s="5"/>
      <c r="V471" s="7"/>
      <c r="W471" s="6"/>
    </row>
    <row r="472" spans="5:23" x14ac:dyDescent="0.35"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5"/>
      <c r="Q472" s="5"/>
      <c r="R472" s="5"/>
      <c r="S472" s="5"/>
      <c r="T472" s="8"/>
      <c r="U472" s="5"/>
      <c r="V472" s="7"/>
      <c r="W472" s="6"/>
    </row>
    <row r="473" spans="5:23" x14ac:dyDescent="0.35"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5"/>
      <c r="Q473" s="5"/>
      <c r="R473" s="5"/>
      <c r="S473" s="5"/>
      <c r="T473" s="8"/>
      <c r="U473" s="5"/>
      <c r="V473" s="7"/>
      <c r="W473" s="6"/>
    </row>
    <row r="474" spans="5:23" x14ac:dyDescent="0.35"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5"/>
      <c r="Q474" s="5"/>
      <c r="R474" s="5"/>
      <c r="S474" s="5"/>
      <c r="T474" s="8"/>
      <c r="U474" s="5"/>
      <c r="V474" s="7"/>
      <c r="W474" s="6"/>
    </row>
    <row r="475" spans="5:23" x14ac:dyDescent="0.35"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5"/>
      <c r="Q475" s="5"/>
      <c r="R475" s="5"/>
      <c r="S475" s="5"/>
      <c r="T475" s="8"/>
      <c r="U475" s="5"/>
      <c r="V475" s="7"/>
      <c r="W475" s="6"/>
    </row>
    <row r="476" spans="5:23" x14ac:dyDescent="0.35"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5"/>
      <c r="Q476" s="5"/>
      <c r="R476" s="5"/>
      <c r="S476" s="5"/>
      <c r="T476" s="8"/>
      <c r="U476" s="5"/>
      <c r="V476" s="7"/>
      <c r="W476" s="6"/>
    </row>
    <row r="477" spans="5:23" x14ac:dyDescent="0.35"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5"/>
      <c r="Q477" s="5"/>
      <c r="R477" s="5"/>
      <c r="S477" s="5"/>
      <c r="T477" s="8"/>
      <c r="U477" s="5"/>
      <c r="V477" s="7"/>
      <c r="W477" s="6"/>
    </row>
    <row r="478" spans="5:23" x14ac:dyDescent="0.35"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5"/>
      <c r="Q478" s="5"/>
      <c r="R478" s="5"/>
      <c r="S478" s="5"/>
      <c r="T478" s="8"/>
      <c r="U478" s="5"/>
      <c r="V478" s="7"/>
      <c r="W478" s="6"/>
    </row>
    <row r="479" spans="5:23" x14ac:dyDescent="0.35"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5"/>
      <c r="Q479" s="5"/>
      <c r="R479" s="5"/>
      <c r="S479" s="5"/>
      <c r="T479" s="8"/>
      <c r="U479" s="5"/>
      <c r="V479" s="7"/>
      <c r="W479" s="6"/>
    </row>
    <row r="480" spans="5:23" x14ac:dyDescent="0.35"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5"/>
      <c r="Q480" s="5"/>
      <c r="R480" s="5"/>
      <c r="S480" s="5"/>
      <c r="T480" s="8"/>
      <c r="U480" s="5"/>
      <c r="V480" s="7"/>
      <c r="W480" s="6"/>
    </row>
    <row r="481" spans="5:23" x14ac:dyDescent="0.35"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5"/>
      <c r="Q481" s="5"/>
      <c r="R481" s="5"/>
      <c r="S481" s="5"/>
      <c r="T481" s="8"/>
      <c r="U481" s="5"/>
      <c r="V481" s="7"/>
      <c r="W481" s="6"/>
    </row>
    <row r="482" spans="5:23" x14ac:dyDescent="0.35"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5"/>
      <c r="Q482" s="5"/>
      <c r="R482" s="5"/>
      <c r="S482" s="5"/>
      <c r="T482" s="8"/>
      <c r="U482" s="5"/>
      <c r="V482" s="7"/>
      <c r="W482" s="6"/>
    </row>
    <row r="483" spans="5:23" x14ac:dyDescent="0.35"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5"/>
      <c r="Q483" s="5"/>
      <c r="R483" s="5"/>
      <c r="S483" s="5"/>
      <c r="T483" s="8"/>
      <c r="U483" s="5"/>
      <c r="V483" s="7"/>
      <c r="W483" s="6"/>
    </row>
    <row r="484" spans="5:23" x14ac:dyDescent="0.35"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5"/>
      <c r="Q484" s="5"/>
      <c r="R484" s="5"/>
      <c r="S484" s="5"/>
      <c r="T484" s="8"/>
      <c r="U484" s="5"/>
      <c r="V484" s="7"/>
      <c r="W484" s="6"/>
    </row>
    <row r="485" spans="5:23" x14ac:dyDescent="0.35"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5"/>
      <c r="Q485" s="5"/>
      <c r="R485" s="5"/>
      <c r="S485" s="5"/>
      <c r="T485" s="8"/>
      <c r="U485" s="5"/>
      <c r="V485" s="7"/>
      <c r="W485" s="6"/>
    </row>
    <row r="486" spans="5:23" x14ac:dyDescent="0.35"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5"/>
      <c r="Q486" s="5"/>
      <c r="R486" s="5"/>
      <c r="S486" s="5"/>
      <c r="T486" s="8"/>
      <c r="U486" s="5"/>
      <c r="V486" s="7"/>
      <c r="W486" s="6"/>
    </row>
    <row r="487" spans="5:23" x14ac:dyDescent="0.35"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5"/>
      <c r="Q487" s="5"/>
      <c r="R487" s="5"/>
      <c r="S487" s="5"/>
      <c r="T487" s="8"/>
      <c r="U487" s="5"/>
      <c r="V487" s="7"/>
      <c r="W487" s="6"/>
    </row>
    <row r="488" spans="5:23" x14ac:dyDescent="0.35"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5"/>
      <c r="Q488" s="5"/>
      <c r="R488" s="5"/>
      <c r="S488" s="5"/>
      <c r="T488" s="8"/>
      <c r="U488" s="5"/>
      <c r="V488" s="7"/>
      <c r="W488" s="6"/>
    </row>
    <row r="489" spans="5:23" x14ac:dyDescent="0.35"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5"/>
      <c r="Q489" s="5"/>
      <c r="R489" s="5"/>
      <c r="S489" s="5"/>
      <c r="T489" s="8"/>
      <c r="U489" s="5"/>
      <c r="V489" s="7"/>
      <c r="W489" s="6"/>
    </row>
    <row r="490" spans="5:23" x14ac:dyDescent="0.35"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5"/>
      <c r="Q490" s="5"/>
      <c r="R490" s="5"/>
      <c r="S490" s="5"/>
      <c r="T490" s="8"/>
      <c r="U490" s="5"/>
      <c r="V490" s="7"/>
      <c r="W490" s="6"/>
    </row>
    <row r="491" spans="5:23" x14ac:dyDescent="0.35"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5"/>
      <c r="Q491" s="5"/>
      <c r="R491" s="5"/>
      <c r="S491" s="5"/>
      <c r="T491" s="8"/>
      <c r="U491" s="5"/>
      <c r="V491" s="7"/>
      <c r="W491" s="6"/>
    </row>
    <row r="492" spans="5:23" x14ac:dyDescent="0.35"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5"/>
      <c r="Q492" s="5"/>
      <c r="R492" s="5"/>
      <c r="S492" s="5"/>
      <c r="T492" s="8"/>
      <c r="U492" s="5"/>
      <c r="V492" s="7"/>
      <c r="W492" s="6"/>
    </row>
    <row r="493" spans="5:23" x14ac:dyDescent="0.35"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5"/>
      <c r="Q493" s="5"/>
      <c r="R493" s="5"/>
      <c r="S493" s="5"/>
      <c r="T493" s="8"/>
      <c r="U493" s="5"/>
      <c r="V493" s="7"/>
      <c r="W493" s="6"/>
    </row>
    <row r="494" spans="5:23" x14ac:dyDescent="0.35"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5"/>
      <c r="Q494" s="5"/>
      <c r="R494" s="5"/>
      <c r="S494" s="5"/>
      <c r="T494" s="8"/>
      <c r="U494" s="5"/>
      <c r="V494" s="7"/>
      <c r="W494" s="6"/>
    </row>
    <row r="495" spans="5:23" x14ac:dyDescent="0.35"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5"/>
      <c r="Q495" s="5"/>
      <c r="R495" s="5"/>
      <c r="S495" s="5"/>
      <c r="T495" s="8"/>
      <c r="U495" s="5"/>
      <c r="V495" s="7"/>
      <c r="W495" s="6"/>
    </row>
    <row r="496" spans="5:23" x14ac:dyDescent="0.35"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5"/>
      <c r="Q496" s="5"/>
      <c r="R496" s="5"/>
      <c r="S496" s="5"/>
      <c r="T496" s="8"/>
      <c r="U496" s="5"/>
      <c r="V496" s="7"/>
      <c r="W496" s="6"/>
    </row>
    <row r="497" spans="5:23" x14ac:dyDescent="0.35"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5"/>
      <c r="Q497" s="5"/>
      <c r="R497" s="5"/>
      <c r="S497" s="5"/>
      <c r="T497" s="8"/>
      <c r="U497" s="5"/>
      <c r="V497" s="7"/>
      <c r="W497" s="6"/>
    </row>
    <row r="498" spans="5:23" x14ac:dyDescent="0.35"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5"/>
      <c r="Q498" s="5"/>
      <c r="R498" s="5"/>
      <c r="S498" s="5"/>
      <c r="T498" s="8"/>
      <c r="U498" s="5"/>
      <c r="V498" s="7"/>
      <c r="W498" s="6"/>
    </row>
    <row r="499" spans="5:23" x14ac:dyDescent="0.35"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5"/>
      <c r="Q499" s="5"/>
      <c r="R499" s="5"/>
      <c r="S499" s="5"/>
      <c r="T499" s="8"/>
      <c r="U499" s="5"/>
      <c r="V499" s="7"/>
      <c r="W499" s="6"/>
    </row>
    <row r="500" spans="5:23" x14ac:dyDescent="0.35"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5"/>
      <c r="Q500" s="5"/>
      <c r="R500" s="5"/>
      <c r="S500" s="5"/>
      <c r="T500" s="8"/>
      <c r="U500" s="5"/>
      <c r="V500" s="7"/>
      <c r="W500" s="6"/>
    </row>
    <row r="501" spans="5:23" x14ac:dyDescent="0.35"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5"/>
      <c r="Q501" s="5"/>
      <c r="R501" s="5"/>
      <c r="S501" s="5"/>
      <c r="T501" s="8"/>
      <c r="U501" s="5"/>
      <c r="V501" s="7"/>
      <c r="W501" s="6"/>
    </row>
    <row r="502" spans="5:23" x14ac:dyDescent="0.35"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5"/>
      <c r="Q502" s="5"/>
      <c r="R502" s="5"/>
      <c r="S502" s="5"/>
      <c r="T502" s="8"/>
      <c r="U502" s="5"/>
      <c r="V502" s="7"/>
      <c r="W502" s="6"/>
    </row>
    <row r="503" spans="5:23" x14ac:dyDescent="0.35"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5"/>
      <c r="Q503" s="5"/>
      <c r="R503" s="5"/>
      <c r="S503" s="5"/>
      <c r="T503" s="8"/>
      <c r="U503" s="5"/>
      <c r="V503" s="7"/>
      <c r="W503" s="6"/>
    </row>
    <row r="504" spans="5:23" x14ac:dyDescent="0.35"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5"/>
      <c r="Q504" s="5"/>
      <c r="R504" s="5"/>
      <c r="S504" s="5"/>
      <c r="T504" s="8"/>
      <c r="U504" s="5"/>
      <c r="V504" s="7"/>
      <c r="W504" s="6"/>
    </row>
    <row r="505" spans="5:23" x14ac:dyDescent="0.35"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5"/>
      <c r="Q505" s="5"/>
      <c r="R505" s="5"/>
      <c r="S505" s="5"/>
      <c r="T505" s="8"/>
      <c r="U505" s="5"/>
      <c r="V505" s="7"/>
      <c r="W505" s="6"/>
    </row>
    <row r="506" spans="5:23" x14ac:dyDescent="0.35"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5"/>
      <c r="Q506" s="5"/>
      <c r="R506" s="5"/>
      <c r="S506" s="5"/>
      <c r="T506" s="8"/>
      <c r="U506" s="5"/>
      <c r="V506" s="7"/>
      <c r="W506" s="6"/>
    </row>
    <row r="507" spans="5:23" x14ac:dyDescent="0.35"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5"/>
      <c r="Q507" s="5"/>
      <c r="R507" s="5"/>
      <c r="S507" s="5"/>
      <c r="T507" s="8"/>
      <c r="U507" s="5"/>
      <c r="V507" s="7"/>
      <c r="W507" s="6"/>
    </row>
    <row r="508" spans="5:23" x14ac:dyDescent="0.35"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5"/>
      <c r="Q508" s="5"/>
      <c r="R508" s="5"/>
      <c r="S508" s="5"/>
      <c r="T508" s="8"/>
      <c r="U508" s="5"/>
      <c r="V508" s="7"/>
      <c r="W508" s="6"/>
    </row>
    <row r="509" spans="5:23" x14ac:dyDescent="0.35"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5"/>
      <c r="Q509" s="5"/>
      <c r="R509" s="5"/>
      <c r="S509" s="5"/>
      <c r="T509" s="8"/>
      <c r="U509" s="5"/>
      <c r="V509" s="7"/>
      <c r="W509" s="6"/>
    </row>
    <row r="510" spans="5:23" x14ac:dyDescent="0.35"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5"/>
      <c r="Q510" s="5"/>
      <c r="R510" s="5"/>
      <c r="S510" s="5"/>
      <c r="T510" s="8"/>
      <c r="U510" s="5"/>
      <c r="V510" s="7"/>
      <c r="W510" s="6"/>
    </row>
    <row r="511" spans="5:23" x14ac:dyDescent="0.35"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5"/>
      <c r="Q511" s="5"/>
      <c r="R511" s="5"/>
      <c r="S511" s="5"/>
      <c r="T511" s="8"/>
      <c r="U511" s="5"/>
      <c r="V511" s="7"/>
      <c r="W511" s="6"/>
    </row>
    <row r="512" spans="5:23" x14ac:dyDescent="0.35"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5"/>
      <c r="Q512" s="5"/>
      <c r="R512" s="5"/>
      <c r="S512" s="5"/>
      <c r="T512" s="8"/>
      <c r="U512" s="5"/>
      <c r="V512" s="7"/>
      <c r="W512" s="6"/>
    </row>
    <row r="513" spans="5:23" x14ac:dyDescent="0.35"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5"/>
      <c r="Q513" s="5"/>
      <c r="R513" s="5"/>
      <c r="S513" s="5"/>
      <c r="T513" s="8"/>
      <c r="U513" s="5"/>
      <c r="V513" s="7"/>
      <c r="W513" s="6"/>
    </row>
    <row r="514" spans="5:23" x14ac:dyDescent="0.35"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5"/>
      <c r="Q514" s="5"/>
      <c r="R514" s="5"/>
      <c r="S514" s="5"/>
      <c r="T514" s="8"/>
      <c r="U514" s="5"/>
      <c r="V514" s="7"/>
      <c r="W514" s="6"/>
    </row>
    <row r="515" spans="5:23" x14ac:dyDescent="0.35"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5"/>
      <c r="Q515" s="5"/>
      <c r="R515" s="5"/>
      <c r="S515" s="5"/>
      <c r="T515" s="8"/>
      <c r="U515" s="5"/>
      <c r="V515" s="7"/>
      <c r="W515" s="6"/>
    </row>
    <row r="516" spans="5:23" x14ac:dyDescent="0.35"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5"/>
      <c r="Q516" s="5"/>
      <c r="R516" s="5"/>
      <c r="S516" s="5"/>
      <c r="T516" s="8"/>
      <c r="U516" s="5"/>
      <c r="V516" s="7"/>
      <c r="W516" s="6"/>
    </row>
    <row r="517" spans="5:23" x14ac:dyDescent="0.35"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5"/>
      <c r="Q517" s="5"/>
      <c r="R517" s="5"/>
      <c r="S517" s="5"/>
      <c r="T517" s="8"/>
      <c r="U517" s="5"/>
      <c r="V517" s="7"/>
      <c r="W517" s="6"/>
    </row>
    <row r="518" spans="5:23" x14ac:dyDescent="0.35"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5"/>
      <c r="Q518" s="5"/>
      <c r="R518" s="5"/>
      <c r="S518" s="5"/>
      <c r="T518" s="8"/>
      <c r="U518" s="5"/>
      <c r="V518" s="7"/>
      <c r="W518" s="6"/>
    </row>
    <row r="519" spans="5:23" x14ac:dyDescent="0.35"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5"/>
      <c r="Q519" s="5"/>
      <c r="R519" s="5"/>
      <c r="S519" s="5"/>
      <c r="T519" s="8"/>
      <c r="U519" s="5"/>
      <c r="V519" s="7"/>
      <c r="W519" s="6"/>
    </row>
    <row r="520" spans="5:23" x14ac:dyDescent="0.35"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5"/>
      <c r="Q520" s="5"/>
      <c r="R520" s="5"/>
      <c r="S520" s="5"/>
      <c r="T520" s="8"/>
      <c r="U520" s="5"/>
      <c r="V520" s="7"/>
      <c r="W520" s="6"/>
    </row>
    <row r="521" spans="5:23" x14ac:dyDescent="0.35"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5"/>
      <c r="Q521" s="5"/>
      <c r="R521" s="5"/>
      <c r="S521" s="5"/>
      <c r="T521" s="8"/>
      <c r="U521" s="5"/>
      <c r="V521" s="7"/>
      <c r="W521" s="6"/>
    </row>
    <row r="522" spans="5:23" x14ac:dyDescent="0.35"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5"/>
      <c r="Q522" s="5"/>
      <c r="R522" s="5"/>
      <c r="S522" s="5"/>
      <c r="T522" s="8"/>
      <c r="U522" s="5"/>
      <c r="V522" s="7"/>
      <c r="W522" s="6"/>
    </row>
    <row r="523" spans="5:23" x14ac:dyDescent="0.35"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5"/>
      <c r="Q523" s="5"/>
      <c r="R523" s="5"/>
      <c r="S523" s="5"/>
      <c r="T523" s="8"/>
      <c r="U523" s="5"/>
      <c r="V523" s="7"/>
      <c r="W523" s="6"/>
    </row>
    <row r="524" spans="5:23" x14ac:dyDescent="0.35"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5"/>
      <c r="Q524" s="5"/>
      <c r="R524" s="5"/>
      <c r="S524" s="5"/>
      <c r="T524" s="8"/>
      <c r="U524" s="5"/>
      <c r="V524" s="7"/>
      <c r="W524" s="6"/>
    </row>
    <row r="525" spans="5:23" x14ac:dyDescent="0.35"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5"/>
      <c r="Q525" s="5"/>
      <c r="R525" s="5"/>
      <c r="S525" s="5"/>
      <c r="T525" s="8"/>
      <c r="U525" s="5"/>
      <c r="V525" s="7"/>
      <c r="W525" s="6"/>
    </row>
    <row r="526" spans="5:23" x14ac:dyDescent="0.35"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5"/>
      <c r="Q526" s="5"/>
      <c r="R526" s="5"/>
      <c r="S526" s="5"/>
      <c r="T526" s="8"/>
      <c r="U526" s="5"/>
      <c r="V526" s="7"/>
      <c r="W526" s="6"/>
    </row>
    <row r="527" spans="5:23" x14ac:dyDescent="0.35"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5"/>
      <c r="Q527" s="5"/>
      <c r="R527" s="5"/>
      <c r="S527" s="5"/>
      <c r="T527" s="8"/>
      <c r="U527" s="5"/>
      <c r="V527" s="7"/>
      <c r="W527" s="6"/>
    </row>
    <row r="528" spans="5:23" x14ac:dyDescent="0.35"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5"/>
      <c r="Q528" s="5"/>
      <c r="R528" s="5"/>
      <c r="S528" s="5"/>
      <c r="T528" s="8"/>
      <c r="U528" s="5"/>
      <c r="V528" s="7"/>
      <c r="W528" s="6"/>
    </row>
    <row r="529" spans="5:23" x14ac:dyDescent="0.35"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5"/>
      <c r="Q529" s="5"/>
      <c r="R529" s="5"/>
      <c r="S529" s="5"/>
      <c r="T529" s="8"/>
      <c r="U529" s="5"/>
      <c r="V529" s="7"/>
      <c r="W529" s="6"/>
    </row>
    <row r="530" spans="5:23" x14ac:dyDescent="0.35"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5"/>
      <c r="Q530" s="5"/>
      <c r="R530" s="5"/>
      <c r="S530" s="5"/>
      <c r="T530" s="8"/>
      <c r="U530" s="5"/>
      <c r="V530" s="7"/>
      <c r="W530" s="6"/>
    </row>
    <row r="531" spans="5:23" x14ac:dyDescent="0.35"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5"/>
      <c r="Q531" s="5"/>
      <c r="R531" s="5"/>
      <c r="S531" s="5"/>
      <c r="T531" s="8"/>
      <c r="U531" s="5"/>
      <c r="V531" s="7"/>
      <c r="W531" s="6"/>
    </row>
    <row r="532" spans="5:23" x14ac:dyDescent="0.35"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5"/>
      <c r="Q532" s="5"/>
      <c r="R532" s="5"/>
      <c r="S532" s="5"/>
      <c r="T532" s="8"/>
      <c r="U532" s="5"/>
      <c r="V532" s="7"/>
      <c r="W532" s="6"/>
    </row>
    <row r="533" spans="5:23" x14ac:dyDescent="0.35"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5"/>
      <c r="Q533" s="5"/>
      <c r="R533" s="5"/>
      <c r="S533" s="5"/>
      <c r="T533" s="8"/>
      <c r="U533" s="5"/>
      <c r="V533" s="7"/>
      <c r="W533" s="6"/>
    </row>
    <row r="534" spans="5:23" x14ac:dyDescent="0.35"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5"/>
      <c r="Q534" s="5"/>
      <c r="R534" s="5"/>
      <c r="S534" s="5"/>
      <c r="T534" s="8"/>
      <c r="U534" s="5"/>
      <c r="V534" s="7"/>
      <c r="W534" s="6"/>
    </row>
    <row r="535" spans="5:23" x14ac:dyDescent="0.35"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5"/>
      <c r="Q535" s="5"/>
      <c r="R535" s="5"/>
      <c r="S535" s="5"/>
      <c r="T535" s="8"/>
      <c r="U535" s="5"/>
      <c r="V535" s="7"/>
      <c r="W535" s="6"/>
    </row>
    <row r="536" spans="5:23" x14ac:dyDescent="0.35"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5"/>
      <c r="Q536" s="5"/>
      <c r="R536" s="5"/>
      <c r="S536" s="5"/>
      <c r="T536" s="8"/>
      <c r="U536" s="5"/>
      <c r="V536" s="7"/>
      <c r="W536" s="6"/>
    </row>
    <row r="537" spans="5:23" x14ac:dyDescent="0.35"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5"/>
      <c r="Q537" s="5"/>
      <c r="R537" s="5"/>
      <c r="S537" s="5"/>
      <c r="T537" s="8"/>
      <c r="U537" s="5"/>
      <c r="V537" s="7"/>
      <c r="W537" s="6"/>
    </row>
    <row r="538" spans="5:23" x14ac:dyDescent="0.35"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5"/>
      <c r="Q538" s="5"/>
      <c r="R538" s="5"/>
      <c r="S538" s="5"/>
      <c r="T538" s="8"/>
      <c r="U538" s="5"/>
      <c r="V538" s="7"/>
      <c r="W538" s="6"/>
    </row>
    <row r="539" spans="5:23" x14ac:dyDescent="0.35"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5"/>
      <c r="Q539" s="5"/>
      <c r="R539" s="5"/>
      <c r="S539" s="5"/>
      <c r="T539" s="8"/>
      <c r="U539" s="5"/>
      <c r="V539" s="7"/>
      <c r="W539" s="6"/>
    </row>
    <row r="540" spans="5:23" x14ac:dyDescent="0.35"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5"/>
      <c r="Q540" s="5"/>
      <c r="R540" s="5"/>
      <c r="S540" s="5"/>
      <c r="T540" s="8"/>
      <c r="U540" s="5"/>
      <c r="V540" s="7"/>
      <c r="W540" s="6"/>
    </row>
    <row r="541" spans="5:23" x14ac:dyDescent="0.35"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5"/>
      <c r="Q541" s="5"/>
      <c r="R541" s="5"/>
      <c r="S541" s="5"/>
      <c r="T541" s="8"/>
      <c r="U541" s="5"/>
      <c r="V541" s="7"/>
      <c r="W541" s="6"/>
    </row>
    <row r="542" spans="5:23" x14ac:dyDescent="0.35"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5"/>
      <c r="Q542" s="5"/>
      <c r="R542" s="5"/>
      <c r="S542" s="5"/>
      <c r="T542" s="8"/>
      <c r="U542" s="5"/>
      <c r="V542" s="7"/>
      <c r="W542" s="6"/>
    </row>
    <row r="543" spans="5:23" x14ac:dyDescent="0.35"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5"/>
      <c r="Q543" s="5"/>
      <c r="R543" s="5"/>
      <c r="S543" s="5"/>
      <c r="T543" s="8"/>
      <c r="U543" s="5"/>
      <c r="V543" s="7"/>
      <c r="W543" s="6"/>
    </row>
    <row r="544" spans="5:23" x14ac:dyDescent="0.35"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5"/>
      <c r="Q544" s="5"/>
      <c r="R544" s="5"/>
      <c r="S544" s="5"/>
      <c r="T544" s="8"/>
      <c r="U544" s="5"/>
      <c r="V544" s="7"/>
      <c r="W544" s="6"/>
    </row>
    <row r="545" spans="5:23" x14ac:dyDescent="0.35"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5"/>
      <c r="Q545" s="5"/>
      <c r="R545" s="5"/>
      <c r="S545" s="5"/>
      <c r="T545" s="8"/>
      <c r="U545" s="5"/>
      <c r="V545" s="7"/>
      <c r="W545" s="6"/>
    </row>
    <row r="546" spans="5:23" x14ac:dyDescent="0.35"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5"/>
      <c r="Q546" s="5"/>
      <c r="R546" s="5"/>
      <c r="S546" s="5"/>
      <c r="T546" s="8"/>
      <c r="U546" s="5"/>
      <c r="V546" s="7"/>
      <c r="W546" s="6"/>
    </row>
    <row r="547" spans="5:23" x14ac:dyDescent="0.35"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5"/>
      <c r="Q547" s="5"/>
      <c r="R547" s="5"/>
      <c r="S547" s="5"/>
      <c r="T547" s="8"/>
      <c r="U547" s="5"/>
      <c r="V547" s="7"/>
      <c r="W547" s="6"/>
    </row>
    <row r="548" spans="5:23" x14ac:dyDescent="0.35"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5"/>
      <c r="Q548" s="5"/>
      <c r="R548" s="5"/>
      <c r="S548" s="5"/>
      <c r="T548" s="8"/>
      <c r="U548" s="5"/>
      <c r="V548" s="7"/>
      <c r="W548" s="6"/>
    </row>
    <row r="549" spans="5:23" x14ac:dyDescent="0.35"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5"/>
      <c r="Q549" s="5"/>
      <c r="R549" s="5"/>
      <c r="S549" s="5"/>
      <c r="T549" s="8"/>
      <c r="U549" s="5"/>
      <c r="V549" s="7"/>
      <c r="W549" s="6"/>
    </row>
    <row r="550" spans="5:23" x14ac:dyDescent="0.35"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5"/>
      <c r="Q550" s="5"/>
      <c r="R550" s="5"/>
      <c r="S550" s="5"/>
      <c r="T550" s="8"/>
      <c r="U550" s="5"/>
      <c r="V550" s="7"/>
      <c r="W550" s="6"/>
    </row>
    <row r="551" spans="5:23" x14ac:dyDescent="0.35"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5"/>
      <c r="Q551" s="5"/>
      <c r="R551" s="5"/>
      <c r="S551" s="5"/>
      <c r="T551" s="8"/>
      <c r="U551" s="5"/>
      <c r="V551" s="7"/>
      <c r="W551" s="6"/>
    </row>
    <row r="552" spans="5:23" x14ac:dyDescent="0.35"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5"/>
      <c r="Q552" s="5"/>
      <c r="R552" s="5"/>
      <c r="S552" s="5"/>
      <c r="T552" s="8"/>
      <c r="U552" s="5"/>
      <c r="V552" s="7"/>
      <c r="W552" s="6"/>
    </row>
    <row r="553" spans="5:23" x14ac:dyDescent="0.35"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5"/>
      <c r="Q553" s="5"/>
      <c r="R553" s="5"/>
      <c r="S553" s="5"/>
      <c r="T553" s="8"/>
      <c r="U553" s="5"/>
      <c r="V553" s="7"/>
      <c r="W553" s="6"/>
    </row>
    <row r="554" spans="5:23" x14ac:dyDescent="0.35"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5"/>
      <c r="Q554" s="5"/>
      <c r="R554" s="5"/>
      <c r="S554" s="5"/>
      <c r="T554" s="8"/>
      <c r="U554" s="5"/>
      <c r="V554" s="7"/>
      <c r="W554" s="6"/>
    </row>
    <row r="555" spans="5:23" x14ac:dyDescent="0.35"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5"/>
      <c r="Q555" s="5"/>
      <c r="R555" s="5"/>
      <c r="S555" s="5"/>
      <c r="T555" s="8"/>
      <c r="U555" s="5"/>
      <c r="V555" s="7"/>
      <c r="W555" s="6"/>
    </row>
    <row r="556" spans="5:23" x14ac:dyDescent="0.35"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5"/>
      <c r="Q556" s="5"/>
      <c r="R556" s="5"/>
      <c r="S556" s="5"/>
      <c r="T556" s="8"/>
      <c r="U556" s="5"/>
      <c r="V556" s="7"/>
      <c r="W556" s="6"/>
    </row>
    <row r="557" spans="5:23" x14ac:dyDescent="0.35"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5"/>
      <c r="Q557" s="5"/>
      <c r="R557" s="5"/>
      <c r="S557" s="5"/>
      <c r="T557" s="8"/>
      <c r="U557" s="5"/>
      <c r="V557" s="7"/>
      <c r="W557" s="6"/>
    </row>
    <row r="558" spans="5:23" x14ac:dyDescent="0.35"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5"/>
      <c r="Q558" s="5"/>
      <c r="R558" s="5"/>
      <c r="S558" s="5"/>
      <c r="T558" s="8"/>
      <c r="U558" s="5"/>
      <c r="V558" s="7"/>
      <c r="W558" s="6"/>
    </row>
    <row r="559" spans="5:23" x14ac:dyDescent="0.35"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5"/>
      <c r="Q559" s="5"/>
      <c r="R559" s="5"/>
      <c r="S559" s="5"/>
      <c r="T559" s="8"/>
      <c r="U559" s="5"/>
      <c r="V559" s="7"/>
      <c r="W559" s="6"/>
    </row>
    <row r="560" spans="5:23" x14ac:dyDescent="0.35"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5"/>
      <c r="Q560" s="5"/>
      <c r="R560" s="5"/>
      <c r="S560" s="5"/>
      <c r="T560" s="8"/>
      <c r="U560" s="5"/>
      <c r="V560" s="7"/>
      <c r="W560" s="6"/>
    </row>
    <row r="561" spans="5:23" x14ac:dyDescent="0.35"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5"/>
      <c r="Q561" s="5"/>
      <c r="R561" s="5"/>
      <c r="S561" s="5"/>
      <c r="T561" s="8"/>
      <c r="U561" s="5"/>
      <c r="V561" s="7"/>
      <c r="W561" s="6"/>
    </row>
    <row r="562" spans="5:23" x14ac:dyDescent="0.35"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5"/>
      <c r="Q562" s="5"/>
      <c r="R562" s="5"/>
      <c r="S562" s="5"/>
      <c r="T562" s="8"/>
      <c r="U562" s="5"/>
      <c r="V562" s="7"/>
      <c r="W562" s="6"/>
    </row>
    <row r="563" spans="5:23" x14ac:dyDescent="0.35"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5"/>
      <c r="Q563" s="5"/>
      <c r="R563" s="5"/>
      <c r="S563" s="5"/>
      <c r="T563" s="8"/>
      <c r="U563" s="5"/>
      <c r="V563" s="7"/>
      <c r="W563" s="6"/>
    </row>
    <row r="564" spans="5:23" x14ac:dyDescent="0.35"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5"/>
      <c r="Q564" s="5"/>
      <c r="R564" s="5"/>
      <c r="S564" s="5"/>
      <c r="T564" s="8"/>
      <c r="U564" s="5"/>
      <c r="V564" s="7"/>
      <c r="W564" s="6"/>
    </row>
    <row r="565" spans="5:23" x14ac:dyDescent="0.35"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5"/>
      <c r="Q565" s="5"/>
      <c r="R565" s="5"/>
      <c r="S565" s="5"/>
      <c r="T565" s="8"/>
      <c r="U565" s="5"/>
      <c r="V565" s="7"/>
      <c r="W565" s="6"/>
    </row>
    <row r="566" spans="5:23" x14ac:dyDescent="0.35"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5"/>
      <c r="Q566" s="5"/>
      <c r="R566" s="5"/>
      <c r="S566" s="5"/>
      <c r="T566" s="8"/>
      <c r="U566" s="5"/>
      <c r="V566" s="7"/>
      <c r="W566" s="6"/>
    </row>
    <row r="567" spans="5:23" x14ac:dyDescent="0.35"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5"/>
      <c r="Q567" s="5"/>
      <c r="R567" s="5"/>
      <c r="S567" s="5"/>
      <c r="T567" s="8"/>
      <c r="U567" s="5"/>
      <c r="V567" s="7"/>
      <c r="W567" s="6"/>
    </row>
    <row r="568" spans="5:23" x14ac:dyDescent="0.35"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5"/>
      <c r="Q568" s="5"/>
      <c r="R568" s="5"/>
      <c r="S568" s="5"/>
      <c r="T568" s="8"/>
      <c r="U568" s="5"/>
      <c r="V568" s="7"/>
      <c r="W568" s="6"/>
    </row>
    <row r="569" spans="5:23" x14ac:dyDescent="0.35"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5"/>
      <c r="Q569" s="5"/>
      <c r="R569" s="5"/>
      <c r="S569" s="5"/>
      <c r="T569" s="8"/>
      <c r="U569" s="5"/>
      <c r="V569" s="7"/>
      <c r="W569" s="6"/>
    </row>
    <row r="570" spans="5:23" x14ac:dyDescent="0.35"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5"/>
      <c r="Q570" s="5"/>
      <c r="R570" s="5"/>
      <c r="S570" s="5"/>
      <c r="T570" s="8"/>
      <c r="U570" s="5"/>
      <c r="V570" s="7"/>
      <c r="W570" s="6"/>
    </row>
    <row r="571" spans="5:23" x14ac:dyDescent="0.35"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5"/>
      <c r="Q571" s="5"/>
      <c r="R571" s="5"/>
      <c r="S571" s="5"/>
      <c r="T571" s="8"/>
      <c r="U571" s="5"/>
      <c r="V571" s="7"/>
      <c r="W571" s="6"/>
    </row>
    <row r="572" spans="5:23" x14ac:dyDescent="0.35"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5"/>
      <c r="Q572" s="5"/>
      <c r="R572" s="5"/>
      <c r="S572" s="5"/>
      <c r="T572" s="8"/>
      <c r="U572" s="5"/>
      <c r="V572" s="7"/>
      <c r="W572" s="6"/>
    </row>
    <row r="573" spans="5:23" x14ac:dyDescent="0.35"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5"/>
      <c r="Q573" s="5"/>
      <c r="R573" s="5"/>
      <c r="S573" s="5"/>
      <c r="T573" s="8"/>
      <c r="U573" s="5"/>
      <c r="V573" s="7"/>
      <c r="W573" s="6"/>
    </row>
    <row r="574" spans="5:23" x14ac:dyDescent="0.35"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5"/>
      <c r="Q574" s="5"/>
      <c r="R574" s="5"/>
      <c r="S574" s="5"/>
      <c r="T574" s="8"/>
      <c r="U574" s="5"/>
      <c r="V574" s="7"/>
      <c r="W574" s="6"/>
    </row>
    <row r="575" spans="5:23" x14ac:dyDescent="0.35"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5"/>
      <c r="Q575" s="5"/>
      <c r="R575" s="5"/>
      <c r="S575" s="5"/>
      <c r="T575" s="8"/>
      <c r="U575" s="5"/>
      <c r="V575" s="7"/>
      <c r="W575" s="6"/>
    </row>
    <row r="576" spans="5:23" x14ac:dyDescent="0.35"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5"/>
      <c r="Q576" s="5"/>
      <c r="R576" s="5"/>
      <c r="S576" s="5"/>
      <c r="T576" s="8"/>
      <c r="U576" s="5"/>
      <c r="V576" s="7"/>
      <c r="W576" s="6"/>
    </row>
    <row r="577" spans="5:23" x14ac:dyDescent="0.35"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5"/>
      <c r="Q577" s="5"/>
      <c r="R577" s="5"/>
      <c r="S577" s="5"/>
      <c r="T577" s="8"/>
      <c r="U577" s="5"/>
      <c r="V577" s="7"/>
      <c r="W577" s="6"/>
    </row>
    <row r="578" spans="5:23" x14ac:dyDescent="0.35"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5"/>
      <c r="Q578" s="5"/>
      <c r="R578" s="5"/>
      <c r="S578" s="5"/>
      <c r="T578" s="8"/>
      <c r="U578" s="5"/>
      <c r="V578" s="7"/>
      <c r="W578" s="6"/>
    </row>
    <row r="579" spans="5:23" x14ac:dyDescent="0.35"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5"/>
      <c r="Q579" s="5"/>
      <c r="R579" s="5"/>
      <c r="S579" s="5"/>
      <c r="T579" s="8"/>
      <c r="U579" s="5"/>
      <c r="V579" s="7"/>
      <c r="W579" s="6"/>
    </row>
    <row r="580" spans="5:23" x14ac:dyDescent="0.35"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5"/>
      <c r="Q580" s="5"/>
      <c r="R580" s="5"/>
      <c r="S580" s="5"/>
      <c r="T580" s="8"/>
      <c r="U580" s="5"/>
      <c r="V580" s="7"/>
      <c r="W580" s="6"/>
    </row>
    <row r="581" spans="5:23" x14ac:dyDescent="0.35"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5"/>
      <c r="Q581" s="5"/>
      <c r="R581" s="5"/>
      <c r="S581" s="5"/>
      <c r="T581" s="8"/>
      <c r="U581" s="5"/>
      <c r="V581" s="7"/>
      <c r="W581" s="6"/>
    </row>
    <row r="582" spans="5:23" x14ac:dyDescent="0.35"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5"/>
      <c r="Q582" s="5"/>
      <c r="R582" s="5"/>
      <c r="S582" s="5"/>
      <c r="T582" s="8"/>
      <c r="U582" s="5"/>
      <c r="V582" s="7"/>
      <c r="W582" s="6"/>
    </row>
    <row r="583" spans="5:23" x14ac:dyDescent="0.35"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5"/>
      <c r="Q583" s="5"/>
      <c r="R583" s="5"/>
      <c r="S583" s="5"/>
      <c r="T583" s="8"/>
      <c r="U583" s="5"/>
      <c r="V583" s="7"/>
      <c r="W583" s="6"/>
    </row>
    <row r="584" spans="5:23" x14ac:dyDescent="0.35"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5"/>
      <c r="Q584" s="5"/>
      <c r="R584" s="5"/>
      <c r="S584" s="5"/>
      <c r="T584" s="8"/>
      <c r="U584" s="5"/>
      <c r="V584" s="7"/>
      <c r="W584" s="6"/>
    </row>
    <row r="585" spans="5:23" x14ac:dyDescent="0.35"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5"/>
      <c r="Q585" s="5"/>
      <c r="R585" s="5"/>
      <c r="S585" s="5"/>
      <c r="T585" s="8"/>
      <c r="U585" s="5"/>
      <c r="V585" s="7"/>
      <c r="W585" s="6"/>
    </row>
    <row r="586" spans="5:23" x14ac:dyDescent="0.35"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5"/>
      <c r="Q586" s="5"/>
      <c r="R586" s="5"/>
      <c r="S586" s="5"/>
      <c r="T586" s="8"/>
      <c r="U586" s="5"/>
      <c r="V586" s="7"/>
      <c r="W586" s="6"/>
    </row>
    <row r="587" spans="5:23" x14ac:dyDescent="0.35"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5"/>
      <c r="Q587" s="5"/>
      <c r="R587" s="5"/>
      <c r="S587" s="5"/>
      <c r="T587" s="8"/>
      <c r="U587" s="5"/>
      <c r="V587" s="7"/>
      <c r="W587" s="6"/>
    </row>
    <row r="588" spans="5:23" x14ac:dyDescent="0.35"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5"/>
      <c r="Q588" s="5"/>
      <c r="R588" s="5"/>
      <c r="S588" s="5"/>
      <c r="T588" s="8"/>
      <c r="U588" s="5"/>
      <c r="V588" s="7"/>
      <c r="W588" s="6"/>
    </row>
    <row r="589" spans="5:23" x14ac:dyDescent="0.35"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5"/>
      <c r="Q589" s="5"/>
      <c r="R589" s="5"/>
      <c r="S589" s="5"/>
      <c r="T589" s="8"/>
      <c r="U589" s="5"/>
      <c r="V589" s="7"/>
      <c r="W589" s="6"/>
    </row>
    <row r="590" spans="5:23" x14ac:dyDescent="0.35"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5"/>
      <c r="Q590" s="5"/>
      <c r="R590" s="5"/>
      <c r="S590" s="5"/>
      <c r="T590" s="8"/>
      <c r="U590" s="5"/>
      <c r="V590" s="7"/>
      <c r="W590" s="6"/>
    </row>
    <row r="591" spans="5:23" x14ac:dyDescent="0.35"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5"/>
      <c r="Q591" s="5"/>
      <c r="R591" s="5"/>
      <c r="S591" s="5"/>
      <c r="T591" s="8"/>
      <c r="U591" s="5"/>
      <c r="V591" s="7"/>
      <c r="W591" s="6"/>
    </row>
    <row r="592" spans="5:23" x14ac:dyDescent="0.35"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5"/>
      <c r="Q592" s="5"/>
      <c r="R592" s="5"/>
      <c r="S592" s="5"/>
      <c r="T592" s="8"/>
      <c r="U592" s="5"/>
      <c r="V592" s="7"/>
      <c r="W592" s="6"/>
    </row>
    <row r="593" spans="5:23" x14ac:dyDescent="0.35"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5"/>
      <c r="Q593" s="5"/>
      <c r="R593" s="5"/>
      <c r="S593" s="5"/>
      <c r="T593" s="8"/>
      <c r="U593" s="5"/>
      <c r="V593" s="7"/>
      <c r="W593" s="6"/>
    </row>
    <row r="594" spans="5:23" x14ac:dyDescent="0.35"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5"/>
      <c r="Q594" s="5"/>
      <c r="R594" s="5"/>
      <c r="S594" s="5"/>
      <c r="T594" s="8"/>
      <c r="U594" s="5"/>
      <c r="V594" s="7"/>
      <c r="W594" s="6"/>
    </row>
    <row r="595" spans="5:23" x14ac:dyDescent="0.35"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5"/>
      <c r="Q595" s="5"/>
      <c r="R595" s="5"/>
      <c r="S595" s="5"/>
      <c r="T595" s="8"/>
      <c r="U595" s="5"/>
      <c r="V595" s="7"/>
      <c r="W595" s="6"/>
    </row>
    <row r="596" spans="5:23" x14ac:dyDescent="0.35"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5"/>
      <c r="Q596" s="5"/>
      <c r="R596" s="5"/>
      <c r="S596" s="5"/>
      <c r="T596" s="8"/>
      <c r="U596" s="5"/>
      <c r="V596" s="7"/>
      <c r="W596" s="6"/>
    </row>
    <row r="597" spans="5:23" x14ac:dyDescent="0.35"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5"/>
      <c r="Q597" s="5"/>
      <c r="R597" s="5"/>
      <c r="S597" s="5"/>
      <c r="T597" s="8"/>
      <c r="U597" s="5"/>
      <c r="V597" s="7"/>
      <c r="W597" s="6"/>
    </row>
    <row r="598" spans="5:23" x14ac:dyDescent="0.35"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5"/>
      <c r="Q598" s="5"/>
      <c r="R598" s="5"/>
      <c r="S598" s="5"/>
      <c r="T598" s="8"/>
      <c r="U598" s="5"/>
      <c r="V598" s="7"/>
      <c r="W598" s="6"/>
    </row>
    <row r="599" spans="5:23" x14ac:dyDescent="0.35"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5"/>
      <c r="Q599" s="5"/>
      <c r="R599" s="5"/>
      <c r="S599" s="5"/>
      <c r="T599" s="8"/>
      <c r="U599" s="5"/>
      <c r="V599" s="7"/>
      <c r="W599" s="6"/>
    </row>
    <row r="600" spans="5:23" x14ac:dyDescent="0.35"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5"/>
      <c r="Q600" s="5"/>
      <c r="R600" s="5"/>
      <c r="S600" s="5"/>
      <c r="T600" s="8"/>
      <c r="U600" s="5"/>
      <c r="V600" s="7"/>
      <c r="W600" s="6"/>
    </row>
    <row r="601" spans="5:23" x14ac:dyDescent="0.35"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5"/>
      <c r="Q601" s="5"/>
      <c r="R601" s="5"/>
      <c r="S601" s="5"/>
      <c r="T601" s="8"/>
      <c r="U601" s="5"/>
      <c r="V601" s="7"/>
      <c r="W601" s="6"/>
    </row>
    <row r="602" spans="5:23" x14ac:dyDescent="0.35"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5"/>
      <c r="Q602" s="5"/>
      <c r="R602" s="5"/>
      <c r="S602" s="5"/>
      <c r="T602" s="8"/>
      <c r="U602" s="5"/>
      <c r="V602" s="7"/>
      <c r="W602" s="6"/>
    </row>
    <row r="603" spans="5:23" x14ac:dyDescent="0.35"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5"/>
      <c r="Q603" s="5"/>
      <c r="R603" s="5"/>
      <c r="S603" s="5"/>
      <c r="T603" s="8"/>
      <c r="U603" s="5"/>
      <c r="V603" s="7"/>
      <c r="W603" s="6"/>
    </row>
    <row r="604" spans="5:23" x14ac:dyDescent="0.35"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5"/>
      <c r="Q604" s="5"/>
      <c r="R604" s="5"/>
      <c r="S604" s="5"/>
      <c r="T604" s="8"/>
      <c r="U604" s="5"/>
      <c r="V604" s="7"/>
      <c r="W604" s="6"/>
    </row>
    <row r="605" spans="5:23" x14ac:dyDescent="0.35"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5"/>
      <c r="Q605" s="5"/>
      <c r="R605" s="5"/>
      <c r="S605" s="5"/>
      <c r="T605" s="8"/>
      <c r="U605" s="5"/>
      <c r="V605" s="7"/>
      <c r="W605" s="6"/>
    </row>
    <row r="606" spans="5:23" x14ac:dyDescent="0.35"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5"/>
      <c r="Q606" s="5"/>
      <c r="R606" s="5"/>
      <c r="S606" s="5"/>
      <c r="T606" s="8"/>
      <c r="U606" s="5"/>
      <c r="V606" s="7"/>
      <c r="W606" s="6"/>
    </row>
    <row r="607" spans="5:23" x14ac:dyDescent="0.35"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5"/>
      <c r="Q607" s="5"/>
      <c r="R607" s="5"/>
      <c r="S607" s="5"/>
      <c r="T607" s="8"/>
      <c r="U607" s="5"/>
      <c r="V607" s="7"/>
      <c r="W607" s="6"/>
    </row>
    <row r="608" spans="5:23" x14ac:dyDescent="0.35"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5"/>
      <c r="Q608" s="5"/>
      <c r="R608" s="5"/>
      <c r="S608" s="5"/>
      <c r="T608" s="8"/>
      <c r="U608" s="5"/>
      <c r="V608" s="7"/>
      <c r="W608" s="6"/>
    </row>
    <row r="609" spans="1:23" x14ac:dyDescent="0.35"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5"/>
      <c r="Q609" s="5"/>
      <c r="R609" s="5"/>
      <c r="S609" s="5"/>
      <c r="T609" s="8"/>
      <c r="U609" s="5"/>
      <c r="V609" s="7"/>
      <c r="W609" s="6"/>
    </row>
    <row r="610" spans="1:23" x14ac:dyDescent="0.35"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5"/>
      <c r="Q610" s="5"/>
      <c r="R610" s="5"/>
      <c r="S610" s="5"/>
      <c r="T610" s="8"/>
      <c r="U610" s="5"/>
      <c r="V610" s="7"/>
      <c r="W610" s="6"/>
    </row>
    <row r="611" spans="1:23" x14ac:dyDescent="0.35"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5"/>
      <c r="Q611" s="5"/>
      <c r="R611" s="5"/>
      <c r="S611" s="5"/>
      <c r="T611" s="8"/>
      <c r="U611" s="5"/>
      <c r="V611" s="7"/>
      <c r="W611" s="6"/>
    </row>
    <row r="612" spans="1:23" x14ac:dyDescent="0.35"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5"/>
      <c r="Q612" s="5"/>
      <c r="R612" s="5"/>
      <c r="S612" s="5"/>
      <c r="T612" s="8"/>
      <c r="U612" s="5"/>
      <c r="V612" s="7"/>
      <c r="W612" s="6"/>
    </row>
    <row r="613" spans="1:23" x14ac:dyDescent="0.35"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5"/>
      <c r="Q613" s="5"/>
      <c r="R613" s="5"/>
      <c r="S613" s="5"/>
      <c r="T613" s="8"/>
      <c r="U613" s="5"/>
      <c r="V613" s="7"/>
      <c r="W613" s="6"/>
    </row>
    <row r="614" spans="1:23" x14ac:dyDescent="0.35"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5"/>
      <c r="Q614" s="5"/>
      <c r="R614" s="5"/>
      <c r="S614" s="5"/>
      <c r="T614" s="8"/>
      <c r="U614" s="5"/>
      <c r="V614" s="7"/>
      <c r="W614" s="6"/>
    </row>
    <row r="615" spans="1:23" x14ac:dyDescent="0.35">
      <c r="A615" t="s">
        <v>34</v>
      </c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5"/>
      <c r="Q615" s="5"/>
      <c r="R615" s="5"/>
      <c r="S615" s="5"/>
      <c r="T615" s="8"/>
      <c r="U615" s="5"/>
      <c r="V615" s="7"/>
      <c r="W615" s="6"/>
    </row>
  </sheetData>
  <pageMargins left="0.7" right="0.7" top="0.75" bottom="0.75" header="0.3" footer="0.3"/>
  <pageSetup orientation="landscape" horizontalDpi="1200" verticalDpi="1200" r:id="rId1"/>
  <headerFooter>
    <oddHeader>&amp;R&amp;"Calibri"&amp;10&amp;K000000Highly Restricted&amp;1#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9B29F-4E10-458C-86D6-3A9218CE4531}">
  <dimension ref="A2:I47"/>
  <sheetViews>
    <sheetView zoomScale="83" workbookViewId="0">
      <selection activeCell="I46" sqref="I46"/>
    </sheetView>
  </sheetViews>
  <sheetFormatPr defaultRowHeight="14.5" x14ac:dyDescent="0.35"/>
  <cols>
    <col min="1" max="1" width="22.08984375" style="83" bestFit="1" customWidth="1"/>
    <col min="2" max="2" width="9.81640625" bestFit="1" customWidth="1"/>
    <col min="3" max="3" width="19.7265625" bestFit="1" customWidth="1"/>
    <col min="4" max="4" width="19.7265625" style="84" customWidth="1"/>
    <col min="5" max="5" width="4.453125" style="77" customWidth="1"/>
    <col min="6" max="6" width="22.08984375" style="83" bestFit="1" customWidth="1"/>
    <col min="7" max="7" width="10.36328125" bestFit="1" customWidth="1"/>
    <col min="8" max="8" width="19.7265625" bestFit="1" customWidth="1"/>
    <col min="9" max="9" width="24" style="84" customWidth="1"/>
  </cols>
  <sheetData>
    <row r="2" spans="1:9" x14ac:dyDescent="0.35">
      <c r="A2" s="142" t="s">
        <v>134</v>
      </c>
      <c r="B2" s="143"/>
      <c r="C2" s="143"/>
      <c r="D2" s="144"/>
      <c r="E2" s="77" t="s">
        <v>118</v>
      </c>
      <c r="F2" s="142" t="s">
        <v>267</v>
      </c>
      <c r="G2" s="143"/>
      <c r="H2" s="143"/>
      <c r="I2" s="144"/>
    </row>
    <row r="3" spans="1:9" x14ac:dyDescent="0.35">
      <c r="A3" s="83" t="s">
        <v>94</v>
      </c>
      <c r="B3" t="str">
        <f>A3&amp;" " &amp;A2</f>
        <v>Formulation STONF</v>
      </c>
      <c r="G3" t="str">
        <f>A3&amp;" " &amp;F2</f>
        <v>Formulation Saguaro</v>
      </c>
    </row>
    <row r="4" spans="1:9" x14ac:dyDescent="0.35">
      <c r="A4" s="83" t="s">
        <v>120</v>
      </c>
      <c r="B4" t="str">
        <f>A4&amp;" " &amp;A2</f>
        <v>Nutrition STONF</v>
      </c>
      <c r="G4" t="str">
        <f>A4&amp;" " &amp;F2</f>
        <v>Nutrition Saguaro</v>
      </c>
    </row>
    <row r="5" spans="1:9" x14ac:dyDescent="0.35">
      <c r="A5" s="145" t="str">
        <f>VLOOKUP(A2,Ingredients!$A$33:$B$54,2,0)</f>
        <v>Smooth Texture Sugar Free Natural Orange</v>
      </c>
      <c r="B5" s="146"/>
      <c r="C5" s="146"/>
      <c r="D5" s="147"/>
      <c r="F5" s="145" t="str">
        <f>VLOOKUP(F2,Ingredients!$A$33:$B$54,2,0)</f>
        <v>Smooth Texture Sugar Free Natural Orange NO DYES</v>
      </c>
      <c r="G5" s="146"/>
      <c r="H5" s="146"/>
      <c r="I5" s="147"/>
    </row>
    <row r="6" spans="1:9" s="80" customFormat="1" ht="18.5" x14ac:dyDescent="0.45">
      <c r="A6" s="85" t="s">
        <v>119</v>
      </c>
      <c r="D6" s="86"/>
      <c r="F6" s="85" t="s">
        <v>119</v>
      </c>
      <c r="I6" s="86"/>
    </row>
    <row r="7" spans="1:9" x14ac:dyDescent="0.35">
      <c r="A7" s="87" t="s">
        <v>121</v>
      </c>
      <c r="B7" s="42" t="s">
        <v>122</v>
      </c>
      <c r="C7" s="42" t="s">
        <v>3</v>
      </c>
      <c r="D7" s="88"/>
      <c r="E7" s="78"/>
      <c r="F7" s="87" t="s">
        <v>121</v>
      </c>
      <c r="G7" s="42" t="s">
        <v>122</v>
      </c>
      <c r="H7" s="42" t="s">
        <v>3</v>
      </c>
    </row>
    <row r="8" spans="1:9" x14ac:dyDescent="0.35">
      <c r="A8" s="83" t="str" cm="1">
        <f t="array" aca="1" ref="A8" ca="1">INDIRECT("'"&amp;B$3&amp;"'!B14")</f>
        <v>Psyllium</v>
      </c>
      <c r="B8" s="89" cm="1">
        <f t="array" aca="1" ref="B8" ca="1">INDIRECT("'"&amp;B$3&amp;"'!C14")</f>
        <v>0.55992200000000003</v>
      </c>
      <c r="C8" s="90">
        <f ca="1">VLOOKUP(A8,Ingredients!$A$3:$D$33,4,0)</f>
        <v>10047885</v>
      </c>
      <c r="D8" s="91"/>
      <c r="F8" s="83" t="str" cm="1">
        <f t="array" aca="1" ref="F8" ca="1">INDIRECT("'"&amp;G$3&amp;"'!B14")</f>
        <v>Psyllium</v>
      </c>
      <c r="G8" s="89" cm="1">
        <f t="array" aca="1" ref="G8" ca="1">INDIRECT("'"&amp;G$3&amp;"'!C14")</f>
        <v>0.56259999999999999</v>
      </c>
      <c r="H8" s="90">
        <f ca="1">VLOOKUP(F8,Ingredients!$A$3:$D$33,4,0)</f>
        <v>10047885</v>
      </c>
    </row>
    <row r="9" spans="1:9" x14ac:dyDescent="0.35">
      <c r="A9" s="83" t="str" cm="1">
        <f t="array" aca="1" ref="A9" ca="1">INDIRECT("'"&amp;B$3&amp;"'!B15")</f>
        <v>Maltodextrin</v>
      </c>
      <c r="B9" s="89" cm="1">
        <f t="array" aca="1" ref="B9" ca="1">INDIRECT("'"&amp;B$3&amp;"'!C15")</f>
        <v>0.31958900000000001</v>
      </c>
      <c r="C9" s="90" t="str">
        <f ca="1">VLOOKUP(A9,Ingredients!$A$3:$D$33,4,0)</f>
        <v>10046056 or 10046057</v>
      </c>
      <c r="D9" s="91"/>
      <c r="F9" s="83" t="str" cm="1">
        <f t="array" aca="1" ref="F9" ca="1">INDIRECT("'"&amp;G$3&amp;"'!B15")</f>
        <v>Maltodextrin</v>
      </c>
      <c r="G9" s="89" cm="1">
        <f t="array" aca="1" ref="G9" ca="1">INDIRECT("'"&amp;G$3&amp;"'!C15")</f>
        <v>0.3211</v>
      </c>
      <c r="H9" s="90" t="str">
        <f ca="1">VLOOKUP(F9,Ingredients!$A$3:$D$33,4,0)</f>
        <v>10046056 or 10046057</v>
      </c>
    </row>
    <row r="10" spans="1:9" x14ac:dyDescent="0.35">
      <c r="A10" s="83" t="str" cm="1">
        <f t="array" aca="1" ref="A10" ca="1">INDIRECT("'"&amp;B$3&amp;"'!B16")</f>
        <v>Citric Acid Anhydrous</v>
      </c>
      <c r="B10" s="89" cm="1">
        <f t="array" aca="1" ref="B10" ca="1">INDIRECT("'"&amp;B$3&amp;"'!C16")</f>
        <v>8.5018999999999997E-2</v>
      </c>
      <c r="C10" s="90">
        <f ca="1">VLOOKUP(A10,Ingredients!$A$3:$D$33,4,0)</f>
        <v>10045074</v>
      </c>
      <c r="D10" s="91"/>
      <c r="F10" s="83" t="str" cm="1">
        <f t="array" aca="1" ref="F10" ca="1">INDIRECT("'"&amp;G$3&amp;"'!B16")</f>
        <v>Citric Acid Anhydrous</v>
      </c>
      <c r="G10" s="89" cm="1">
        <f t="array" aca="1" ref="G10" ca="1">INDIRECT("'"&amp;G$3&amp;"'!C16")</f>
        <v>8.5400000000000004E-2</v>
      </c>
      <c r="H10" s="90">
        <f ca="1">VLOOKUP(F10,Ingredients!$A$3:$D$33,4,0)</f>
        <v>10045074</v>
      </c>
    </row>
    <row r="11" spans="1:9" x14ac:dyDescent="0.35">
      <c r="A11" s="83" t="str" cm="1">
        <f t="array" aca="1" ref="A11" ca="1">INDIRECT("'"&amp;B$3&amp;"'!B17")</f>
        <v>Stevia</v>
      </c>
      <c r="B11" s="89" cm="1">
        <f t="array" aca="1" ref="B11" ca="1">INDIRECT("'"&amp;B$3&amp;"'!C17")</f>
        <v>7.4279999999999997E-3</v>
      </c>
      <c r="C11" s="90">
        <f ca="1">VLOOKUP(A11,Ingredients!$A$3:$D$33,4,0)</f>
        <v>91400073</v>
      </c>
      <c r="D11" s="91"/>
      <c r="F11" s="83" t="str" cm="1">
        <f t="array" aca="1" ref="F11" ca="1">INDIRECT("'"&amp;G$3&amp;"'!B17")</f>
        <v>Stevia</v>
      </c>
      <c r="G11" s="89" cm="1">
        <f t="array" aca="1" ref="G11" ca="1">INDIRECT("'"&amp;G$3&amp;"'!C17")</f>
        <v>7.4999999999999997E-3</v>
      </c>
      <c r="H11" s="90">
        <f ca="1">VLOOKUP(F11,Ingredients!$A$3:$D$33,4,0)</f>
        <v>91400073</v>
      </c>
    </row>
    <row r="12" spans="1:9" x14ac:dyDescent="0.35">
      <c r="A12" s="83" t="str" cm="1">
        <f t="array" aca="1" ref="A12" ca="1">INDIRECT("'"&amp;B$3&amp;"'!B18")</f>
        <v>NEW Natural Orange Flavor</v>
      </c>
      <c r="B12" s="89" cm="1">
        <f t="array" aca="1" ref="B12" ca="1">INDIRECT("'"&amp;B$3&amp;"'!C18")</f>
        <v>2.3206999999999998E-2</v>
      </c>
      <c r="C12" s="90">
        <f ca="1">VLOOKUP(A12,Ingredients!$A$3:$D$33,4,0)</f>
        <v>21346854</v>
      </c>
      <c r="D12" s="91"/>
      <c r="F12" s="83" t="str" cm="1">
        <f t="array" aca="1" ref="F12" ca="1">INDIRECT("'"&amp;G$3&amp;"'!B18")</f>
        <v>NEW Natural Orange Flavor</v>
      </c>
      <c r="G12" s="89" cm="1">
        <f t="array" aca="1" ref="G12" ca="1">INDIRECT("'"&amp;G$3&amp;"'!C18")</f>
        <v>2.3300000000000001E-2</v>
      </c>
      <c r="H12" s="90">
        <f ca="1">VLOOKUP(F12,Ingredients!$A$3:$D$33,4,0)</f>
        <v>21346854</v>
      </c>
    </row>
    <row r="13" spans="1:9" x14ac:dyDescent="0.35">
      <c r="A13" s="83" t="str" cm="1">
        <f t="array" aca="1" ref="A13" ca="1">INDIRECT("'"&amp;B$3&amp;"'!B19")</f>
        <v>Paprika</v>
      </c>
      <c r="B13" s="89" cm="1">
        <f t="array" aca="1" ref="B13" ca="1">INDIRECT("'"&amp;B$3&amp;"'!C19")</f>
        <v>3.516E-3</v>
      </c>
      <c r="C13" s="90">
        <f ca="1">VLOOKUP(A13,Ingredients!$A$3:$D$33,4,0)</f>
        <v>91564541</v>
      </c>
      <c r="D13" s="91"/>
      <c r="F13" s="83" cm="1">
        <f t="array" aca="1" ref="F13" ca="1">INDIRECT("'"&amp;G$3&amp;"'!B19")</f>
        <v>0</v>
      </c>
      <c r="G13" s="89" cm="1">
        <f t="array" aca="1" ref="G13" ca="1">INDIRECT("'"&amp;G$3&amp;"'!C19")</f>
        <v>0</v>
      </c>
      <c r="H13" s="90" t="e">
        <f ca="1">VLOOKUP(F13,Ingredients!$A$3:$D$33,4,0)</f>
        <v>#N/A</v>
      </c>
    </row>
    <row r="14" spans="1:9" x14ac:dyDescent="0.35">
      <c r="A14" s="83" t="str" cm="1">
        <f t="array" aca="1" ref="A14" ca="1">INDIRECT("'"&amp;B$3&amp;"'!B20")</f>
        <v>Turmeric</v>
      </c>
      <c r="B14" s="89" cm="1">
        <f t="array" aca="1" ref="B14" ca="1">INDIRECT("'"&amp;B$3&amp;"'!C20")</f>
        <v>1.3190000000000001E-3</v>
      </c>
      <c r="C14" s="90">
        <f ca="1">VLOOKUP(A14,Ingredients!$A$3:$D$33,4,0)</f>
        <v>91564539</v>
      </c>
      <c r="D14" s="91"/>
      <c r="F14" s="83" cm="1">
        <f t="array" aca="1" ref="F14" ca="1">INDIRECT("'"&amp;G$3&amp;"'!B20")</f>
        <v>0</v>
      </c>
      <c r="G14" s="89" cm="1">
        <f t="array" aca="1" ref="G14" ca="1">INDIRECT("'"&amp;G$3&amp;"'!C20")</f>
        <v>0</v>
      </c>
      <c r="H14" s="90" t="e">
        <f ca="1">VLOOKUP(F14,Ingredients!$A$3:$D$33,4,0)</f>
        <v>#N/A</v>
      </c>
    </row>
    <row r="15" spans="1:9" x14ac:dyDescent="0.35">
      <c r="A15" s="83" cm="1">
        <f t="array" aca="1" ref="A15" ca="1">INDIRECT("'"&amp;B$3&amp;"'!B21")</f>
        <v>0</v>
      </c>
      <c r="B15" s="89" cm="1">
        <f t="array" aca="1" ref="B15" ca="1">INDIRECT("'"&amp;B$3&amp;"'!C21")</f>
        <v>0</v>
      </c>
      <c r="C15" s="90" t="e">
        <f ca="1">VLOOKUP(A15,Ingredients!$A$3:$D$33,4,0)</f>
        <v>#N/A</v>
      </c>
      <c r="D15" s="91"/>
      <c r="F15" s="83" cm="1">
        <f t="array" aca="1" ref="F15" ca="1">INDIRECT("'"&amp;G$3&amp;"'!B121")</f>
        <v>0</v>
      </c>
      <c r="G15" s="89" cm="1">
        <f t="array" aca="1" ref="G15" ca="1">INDIRECT("'"&amp;G$3&amp;"'!C21")</f>
        <v>0</v>
      </c>
      <c r="H15" s="90" t="e">
        <f ca="1">VLOOKUP(F15,Ingredients!$A$3:$D$33,4,0)</f>
        <v>#N/A</v>
      </c>
    </row>
    <row r="16" spans="1:9" x14ac:dyDescent="0.35">
      <c r="A16" s="83" cm="1">
        <f t="array" aca="1" ref="A16" ca="1">INDIRECT("'"&amp;B$3&amp;"'!B122")</f>
        <v>0</v>
      </c>
      <c r="B16" s="89" cm="1">
        <f t="array" aca="1" ref="B16" ca="1">INDIRECT("'"&amp;B$3&amp;"'!C22")</f>
        <v>0</v>
      </c>
      <c r="C16" s="90" t="e">
        <f ca="1">VLOOKUP(A16,Ingredients!$A$3:$D$33,4,0)</f>
        <v>#N/A</v>
      </c>
      <c r="D16" s="91"/>
      <c r="F16" s="83" cm="1">
        <f t="array" aca="1" ref="F16" ca="1">INDIRECT("'"&amp;G$3&amp;"'!B122")</f>
        <v>0</v>
      </c>
      <c r="G16" s="89" cm="1">
        <f t="array" aca="1" ref="G16" ca="1">INDIRECT("'"&amp;G$3&amp;"'!C22")</f>
        <v>0</v>
      </c>
      <c r="H16" s="90" t="e">
        <f ca="1">VLOOKUP(F16,Ingredients!$A$3:$D$33,4,0)</f>
        <v>#N/A</v>
      </c>
    </row>
    <row r="17" spans="1:9" x14ac:dyDescent="0.35">
      <c r="A17" s="83" cm="1">
        <f t="array" aca="1" ref="A17" ca="1">INDIRECT("'"&amp;B$3&amp;"'!B123")</f>
        <v>0</v>
      </c>
      <c r="B17" s="89" cm="1">
        <f t="array" aca="1" ref="B17" ca="1">INDIRECT("'"&amp;B$3&amp;"'!C23")</f>
        <v>0</v>
      </c>
      <c r="C17" s="90" t="e">
        <f ca="1">VLOOKUP(A17,Ingredients!$A$3:$D$33,4,0)</f>
        <v>#N/A</v>
      </c>
      <c r="D17" s="91"/>
      <c r="F17" s="83" cm="1">
        <f t="array" aca="1" ref="F17" ca="1">INDIRECT("'"&amp;G$3&amp;"'!B123")</f>
        <v>0</v>
      </c>
      <c r="G17" s="89" cm="1">
        <f t="array" aca="1" ref="G17" ca="1">INDIRECT("'"&amp;G$3&amp;"'!C23")</f>
        <v>0</v>
      </c>
      <c r="H17" s="90" t="e">
        <f ca="1">VLOOKUP(F17,Ingredients!$A$3:$D$33,4,0)</f>
        <v>#N/A</v>
      </c>
    </row>
    <row r="18" spans="1:9" x14ac:dyDescent="0.35">
      <c r="A18" s="83" cm="1">
        <f t="array" aca="1" ref="A18" ca="1">INDIRECT("'"&amp;B$3&amp;"'!B124")</f>
        <v>0</v>
      </c>
      <c r="B18" s="89" cm="1">
        <f t="array" aca="1" ref="B18" ca="1">INDIRECT("'"&amp;B$3&amp;"'!C24")</f>
        <v>0</v>
      </c>
      <c r="C18" s="90" t="e">
        <f ca="1">VLOOKUP(A18,Ingredients!$A$3:$D$33,4,0)</f>
        <v>#N/A</v>
      </c>
      <c r="D18" s="91"/>
      <c r="F18" s="83" cm="1">
        <f t="array" aca="1" ref="F18" ca="1">INDIRECT("'"&amp;G$3&amp;"'!B124")</f>
        <v>0</v>
      </c>
      <c r="G18" s="89" cm="1">
        <f t="array" aca="1" ref="G18" ca="1">INDIRECT("'"&amp;G$3&amp;"'!C24")</f>
        <v>0</v>
      </c>
      <c r="H18" s="90" t="e">
        <f ca="1">VLOOKUP(F18,Ingredients!$A$3:$D$33,4,0)</f>
        <v>#N/A</v>
      </c>
    </row>
    <row r="19" spans="1:9" x14ac:dyDescent="0.35">
      <c r="A19" s="83" cm="1">
        <f t="array" aca="1" ref="A19" ca="1">INDIRECT("'"&amp;B$3&amp;"'!B125")</f>
        <v>0</v>
      </c>
      <c r="B19" s="89" cm="1">
        <f t="array" aca="1" ref="B19" ca="1">INDIRECT("'"&amp;B$3&amp;"'!C25")</f>
        <v>0</v>
      </c>
      <c r="C19" s="90" t="e">
        <f ca="1">VLOOKUP(A19,Ingredients!$A$3:$D$33,4,0)</f>
        <v>#N/A</v>
      </c>
      <c r="D19" s="91"/>
      <c r="F19" s="83" cm="1">
        <f t="array" aca="1" ref="F19" ca="1">INDIRECT("'"&amp;G$3&amp;"'!B125")</f>
        <v>0</v>
      </c>
      <c r="G19" s="89" cm="1">
        <f t="array" aca="1" ref="G19" ca="1">INDIRECT("'"&amp;G$3&amp;"'!C25")</f>
        <v>0</v>
      </c>
      <c r="H19" s="90" t="e">
        <f ca="1">VLOOKUP(F19,Ingredients!$A$3:$D$33,4,0)</f>
        <v>#N/A</v>
      </c>
    </row>
    <row r="20" spans="1:9" x14ac:dyDescent="0.35">
      <c r="A20" s="83" cm="1">
        <f t="array" aca="1" ref="A20" ca="1">INDIRECT("'"&amp;B$3&amp;"'!B126")</f>
        <v>0</v>
      </c>
      <c r="B20" s="89" cm="1">
        <f t="array" aca="1" ref="B20" ca="1">INDIRECT("'"&amp;B$3&amp;"'!C26")</f>
        <v>0</v>
      </c>
      <c r="C20" s="90" t="e">
        <f ca="1">VLOOKUP(A20,Ingredients!$A$3:$D$33,4,0)</f>
        <v>#N/A</v>
      </c>
      <c r="D20" s="91"/>
      <c r="F20" s="83" cm="1">
        <f t="array" aca="1" ref="F20" ca="1">INDIRECT("'"&amp;G$3&amp;"'!B126")</f>
        <v>0</v>
      </c>
      <c r="G20" s="89" cm="1">
        <f t="array" aca="1" ref="G20" ca="1">INDIRECT("'"&amp;G$3&amp;"'!C26")</f>
        <v>0</v>
      </c>
      <c r="H20" s="90" t="e">
        <f ca="1">VLOOKUP(F20,Ingredients!$A$3:$D$33,4,0)</f>
        <v>#N/A</v>
      </c>
    </row>
    <row r="21" spans="1:9" x14ac:dyDescent="0.35">
      <c r="B21" s="89">
        <f ca="1">SUM(B8:B20)</f>
        <v>0.99999999999999989</v>
      </c>
      <c r="G21" s="89">
        <f ca="1">SUM(G8:G20)</f>
        <v>0.9998999999999999</v>
      </c>
    </row>
    <row r="22" spans="1:9" x14ac:dyDescent="0.35">
      <c r="A22" s="92" t="s">
        <v>125</v>
      </c>
      <c r="B22" s="93" cm="1">
        <f t="array" aca="1" ref="B22" ca="1">INDIRECT("'"&amp;B$3&amp;"'!C7")</f>
        <v>5.8272000000000004</v>
      </c>
      <c r="C22" s="37" t="s">
        <v>126</v>
      </c>
      <c r="D22" s="94"/>
      <c r="E22" s="79"/>
      <c r="F22" s="92" t="s">
        <v>125</v>
      </c>
      <c r="G22" s="93" cm="1">
        <f t="array" aca="1" ref="G22" ca="1">INDIRECT("'"&amp;G$3&amp;"'!C7")</f>
        <v>6.6</v>
      </c>
      <c r="H22" s="37" t="s">
        <v>126</v>
      </c>
    </row>
    <row r="23" spans="1:9" s="80" customFormat="1" ht="18.5" x14ac:dyDescent="0.45">
      <c r="A23" s="85" t="s">
        <v>120</v>
      </c>
      <c r="C23" s="77" t="s">
        <v>124</v>
      </c>
      <c r="D23" s="95" t="s">
        <v>129</v>
      </c>
      <c r="F23" s="85" t="s">
        <v>120</v>
      </c>
      <c r="H23" s="77" t="s">
        <v>124</v>
      </c>
      <c r="I23" s="95" t="s">
        <v>129</v>
      </c>
    </row>
    <row r="24" spans="1:9" x14ac:dyDescent="0.35">
      <c r="A24" s="83" t="str" cm="1">
        <f t="array" aca="1" ref="A24" ca="1">INDIRECT("'"&amp;B$4&amp;"'!C9")</f>
        <v>Total carbohydrate</v>
      </c>
      <c r="B24" s="120" cm="1">
        <f t="array" aca="1" ref="B24" ca="1">INDIRECT("'"&amp;B$4&amp;"'!C10")</f>
        <v>5.2370083490092805</v>
      </c>
      <c r="C24" t="s">
        <v>126</v>
      </c>
      <c r="D24" s="84" t="str" cm="1">
        <f t="array" aca="1" ref="D24" ca="1">INDIRECT("'"&amp;B$4&amp;"'!C14")</f>
        <v>5g</v>
      </c>
      <c r="F24" s="83" t="str" cm="1">
        <f t="array" aca="1" ref="F24" ca="1">INDIRECT("'"&amp;G$4&amp;"'!C9")</f>
        <v>Total carbohydrate</v>
      </c>
      <c r="G24" s="120" cm="1">
        <f t="array" aca="1" ref="G24" ca="1">INDIRECT("'"&amp;G$4&amp;"'!C10")</f>
        <v>5.9349608999999992</v>
      </c>
      <c r="H24" t="s">
        <v>126</v>
      </c>
      <c r="I24" s="131" t="str" cm="1">
        <f t="array" aca="1" ref="I24" ca="1">INDIRECT("'"&amp;G$4&amp;"'!C14")</f>
        <v>6g</v>
      </c>
    </row>
    <row r="25" spans="1:9" x14ac:dyDescent="0.35">
      <c r="A25" s="83" t="str" cm="1">
        <f t="array" aca="1" ref="A25" ca="1">INDIRECT("'"&amp;B$4&amp;"'!D9")</f>
        <v>Total dietary fiber</v>
      </c>
      <c r="B25" s="120" cm="1">
        <f t="array" aca="1" ref="B25" ca="1">INDIRECT("'"&amp;B$4&amp;"'!D10")</f>
        <v>2.7342075268991999</v>
      </c>
      <c r="C25" t="s">
        <v>126</v>
      </c>
      <c r="D25" s="84" t="str" cm="1">
        <f t="array" aca="1" ref="D25" ca="1">INDIRECT("'"&amp;B$4&amp;"'!D14")</f>
        <v>3g</v>
      </c>
      <c r="F25" s="83" t="str" cm="1">
        <f t="array" aca="1" ref="F25" ca="1">INDIRECT("'"&amp;G$4&amp;"'!D9")</f>
        <v>Total dietary fiber</v>
      </c>
      <c r="G25" s="120" cm="1">
        <f t="array" aca="1" ref="G25" ca="1">INDIRECT("'"&amp;G$4&amp;"'!D10")</f>
        <v>3.11162808</v>
      </c>
      <c r="H25" t="s">
        <v>126</v>
      </c>
      <c r="I25" s="131" t="str" cm="1">
        <f t="array" aca="1" ref="I25" ca="1">INDIRECT("'"&amp;G$4&amp;"'!D14")</f>
        <v>3g</v>
      </c>
    </row>
    <row r="26" spans="1:9" x14ac:dyDescent="0.35">
      <c r="A26" s="83" t="str" cm="1">
        <f t="array" aca="1" ref="A26" ca="1">INDIRECT("'"&amp;B$4&amp;"'!E9")</f>
        <v>Soluble fiber</v>
      </c>
      <c r="B26" s="120" cm="1">
        <f t="array" aca="1" ref="B26" ca="1">INDIRECT("'"&amp;B$4&amp;"'!E10")</f>
        <v>2.300258122272</v>
      </c>
      <c r="C26" t="s">
        <v>126</v>
      </c>
      <c r="D26" s="84" t="str" cm="1">
        <f t="array" aca="1" ref="D26" ca="1">INDIRECT("'"&amp;B$4&amp;"'!E14")</f>
        <v>2g</v>
      </c>
      <c r="F26" s="83" t="str" cm="1">
        <f t="array" aca="1" ref="F26" ca="1">INDIRECT("'"&amp;G$4&amp;"'!E9")</f>
        <v>Soluble fiber</v>
      </c>
      <c r="G26" s="120" cm="1">
        <f t="array" aca="1" ref="G26" ca="1">INDIRECT("'"&amp;G$4&amp;"'!E10")</f>
        <v>2.6177778000000003</v>
      </c>
      <c r="H26" t="s">
        <v>126</v>
      </c>
      <c r="I26" s="131" t="str" cm="1">
        <f t="array" aca="1" ref="I26" ca="1">INDIRECT("'"&amp;G$4&amp;"'!E14")</f>
        <v>3g</v>
      </c>
    </row>
    <row r="27" spans="1:9" x14ac:dyDescent="0.35">
      <c r="A27" s="83" t="str" cm="1">
        <f t="array" aca="1" ref="A27" ca="1">INDIRECT("'"&amp;B$4&amp;"'!C16")</f>
        <v>Iron [Mandatory]</v>
      </c>
      <c r="B27" s="120" cm="1">
        <f t="array" aca="1" ref="B27" ca="1">INDIRECT("'"&amp;B$4&amp;"'!C17")</f>
        <v>0.26450765695392003</v>
      </c>
      <c r="C27" t="s">
        <v>130</v>
      </c>
      <c r="D27" s="84" t="str" cm="1">
        <f t="array" aca="1" ref="D27" ca="1">INDIRECT("'"&amp;B$4&amp;"'!C21")</f>
        <v>2% DV</v>
      </c>
      <c r="F27" s="83" t="str" cm="1">
        <f t="array" aca="1" ref="F27" ca="1">INDIRECT("'"&amp;G$4&amp;"'!C16")</f>
        <v>Iron [Mandatory]</v>
      </c>
      <c r="G27" s="120" cm="1">
        <f t="array" aca="1" ref="G27" ca="1">INDIRECT("'"&amp;G$4&amp;"'!C17")</f>
        <v>0.30101477999999998</v>
      </c>
      <c r="H27" t="s">
        <v>130</v>
      </c>
      <c r="I27" s="132" t="str" cm="1">
        <f t="array" aca="1" ref="I27" ca="1">INDIRECT("'"&amp;G$4&amp;"'!C21")</f>
        <v>2% DV</v>
      </c>
    </row>
    <row r="28" spans="1:9" x14ac:dyDescent="0.35">
      <c r="A28" s="83" t="str" cm="1">
        <f t="array" aca="1" ref="A28" ca="1">INDIRECT("'"&amp;B$4&amp;"'!D16")</f>
        <v>Potassium [Mandatory]</v>
      </c>
      <c r="B28" s="120" cm="1">
        <f t="array" aca="1" ref="B28" ca="1">INDIRECT("'"&amp;B$4&amp;"'!D17")</f>
        <v>27.641746811217605</v>
      </c>
      <c r="C28" t="s">
        <v>130</v>
      </c>
      <c r="D28" s="84" t="str" cm="1">
        <f t="array" aca="1" ref="D28" ca="1">INDIRECT("'"&amp;B$4&amp;"'!D21")</f>
        <v>30 mg</v>
      </c>
      <c r="F28" s="83" t="str" cm="1">
        <f t="array" aca="1" ref="F28" ca="1">INDIRECT("'"&amp;G$4&amp;"'!D16")</f>
        <v>Potassium [Mandatory]</v>
      </c>
      <c r="G28" s="120" cm="1">
        <f t="array" aca="1" ref="G28" ca="1">INDIRECT("'"&amp;G$4&amp;"'!D17")</f>
        <v>31.454136120000001</v>
      </c>
      <c r="H28" t="s">
        <v>130</v>
      </c>
      <c r="I28" s="131" t="str" cm="1">
        <f t="array" aca="1" ref="I28" ca="1">INDIRECT("'"&amp;G$4&amp;"'!D21")</f>
        <v>30 mg</v>
      </c>
    </row>
    <row r="29" spans="1:9" x14ac:dyDescent="0.35">
      <c r="A29" s="83" t="str" cm="1">
        <f t="array" aca="1" ref="A29" ca="1">INDIRECT("'"&amp;B$4&amp;"'!E16")</f>
        <v>Calcium [Mandatory]</v>
      </c>
      <c r="B29" s="120" cm="1">
        <f t="array" aca="1" ref="B29" ca="1">INDIRECT("'"&amp;B$4&amp;"'!E17")</f>
        <v>5.9167702000416016</v>
      </c>
      <c r="C29" t="s">
        <v>130</v>
      </c>
      <c r="D29" s="84" cm="1">
        <f t="array" aca="1" ref="D29" ca="1">INDIRECT("'"&amp;B$4&amp;"'!E21")</f>
        <v>0</v>
      </c>
      <c r="F29" s="83" t="str" cm="1">
        <f t="array" aca="1" ref="F29" ca="1">INDIRECT("'"&amp;G$4&amp;"'!E16")</f>
        <v>Calcium [Mandatory]</v>
      </c>
      <c r="G29" s="120" cm="1">
        <f t="array" aca="1" ref="G29" ca="1">INDIRECT("'"&amp;G$4&amp;"'!E17")</f>
        <v>6.7327736519999997</v>
      </c>
      <c r="H29" t="s">
        <v>130</v>
      </c>
      <c r="I29" s="133" cm="1">
        <f t="array" aca="1" ref="I29" ca="1">INDIRECT("'"&amp;G$4&amp;"'!E21")</f>
        <v>0</v>
      </c>
    </row>
    <row r="30" spans="1:9" x14ac:dyDescent="0.35">
      <c r="A30" s="83" t="str" cm="1">
        <f t="array" aca="1" ref="A30" ca="1">INDIRECT("'"&amp;B$4&amp;"'!C23")</f>
        <v>Vitamin A [Voluntary]</v>
      </c>
      <c r="B30" s="120" cm="1">
        <f t="array" aca="1" ref="B30" ca="1">INDIRECT("'"&amp;B$4&amp;"'!C24")</f>
        <v>0.38088820574207999</v>
      </c>
      <c r="C30" t="s">
        <v>133</v>
      </c>
      <c r="D30" s="84" t="str" cm="1">
        <f t="array" aca="1" ref="D30" ca="1">INDIRECT("'"&amp;B$4&amp;"'!C21")</f>
        <v>2% DV</v>
      </c>
      <c r="F30" s="83" t="str" cm="1">
        <f t="array" aca="1" ref="F30" ca="1">INDIRECT("'"&amp;G$4&amp;"'!C23")</f>
        <v>Vitamin A [Voluntary]</v>
      </c>
      <c r="G30" s="120" cm="1">
        <f t="array" aca="1" ref="G30" ca="1">INDIRECT("'"&amp;G$4&amp;"'!C24")</f>
        <v>0</v>
      </c>
      <c r="H30" t="s">
        <v>133</v>
      </c>
      <c r="I30" s="131" t="str" cm="1">
        <f t="array" aca="1" ref="I30" ca="1">INDIRECT("'"&amp;G$4&amp;"'!C21")</f>
        <v>2% DV</v>
      </c>
    </row>
    <row r="31" spans="1:9" x14ac:dyDescent="0.35">
      <c r="A31" s="83" t="str" cm="1">
        <f t="array" aca="1" ref="A31" ca="1">INDIRECT("'"&amp;B$4&amp;"'!D23")</f>
        <v>Vitamin C [Voluntary]</v>
      </c>
      <c r="B31" s="120" cm="1">
        <f t="array" aca="1" ref="B31" ca="1">INDIRECT("'"&amp;B$4&amp;"'!D24")</f>
        <v>1.2702829824E-4</v>
      </c>
      <c r="C31" t="s">
        <v>130</v>
      </c>
      <c r="D31" s="84" t="str" cm="1">
        <f t="array" aca="1" ref="D31" ca="1">INDIRECT("'"&amp;B$4&amp;"'!D28")</f>
        <v>none</v>
      </c>
      <c r="F31" s="83" t="str" cm="1">
        <f t="array" aca="1" ref="F31" ca="1">INDIRECT("'"&amp;G$4&amp;"'!D23")</f>
        <v>Vitamin C [Voluntary]</v>
      </c>
      <c r="G31" s="120" cm="1">
        <f t="array" aca="1" ref="G31" ca="1">INDIRECT("'"&amp;G$4&amp;"'!D24")</f>
        <v>0</v>
      </c>
      <c r="H31" t="s">
        <v>130</v>
      </c>
      <c r="I31" s="131" t="str" cm="1">
        <f t="array" aca="1" ref="I31" ca="1">INDIRECT("'"&amp;G$4&amp;"'!D28")</f>
        <v>none</v>
      </c>
    </row>
    <row r="32" spans="1:9" x14ac:dyDescent="0.35">
      <c r="A32" s="83" t="str" cm="1">
        <f t="array" aca="1" ref="A32" ca="1">INDIRECT("'"&amp;B$4&amp;"'!E23")</f>
        <v>Vitamin D [Mandatory]</v>
      </c>
      <c r="B32" s="120" cm="1">
        <f t="array" aca="1" ref="B32" ca="1">INDIRECT("'"&amp;B$4&amp;"'!E24")</f>
        <v>0</v>
      </c>
      <c r="C32" t="s">
        <v>132</v>
      </c>
      <c r="D32" s="84" cm="1">
        <f t="array" aca="1" ref="D32" ca="1">INDIRECT("'"&amp;B$4&amp;"'!E28")</f>
        <v>0</v>
      </c>
      <c r="F32" s="83" t="str" cm="1">
        <f t="array" aca="1" ref="F32" ca="1">INDIRECT("'"&amp;G$4&amp;"'!E23")</f>
        <v>Vitamin D [Mandatory]</v>
      </c>
      <c r="G32" s="120" cm="1">
        <f t="array" aca="1" ref="G32" ca="1">INDIRECT("'"&amp;G$4&amp;"'!E24")</f>
        <v>0</v>
      </c>
      <c r="H32" t="s">
        <v>132</v>
      </c>
      <c r="I32" s="131" cm="1">
        <f t="array" aca="1" ref="I32" ca="1">INDIRECT("'"&amp;G$4&amp;"'!E28")</f>
        <v>0</v>
      </c>
    </row>
    <row r="33" spans="1:9" x14ac:dyDescent="0.35">
      <c r="A33" s="83" t="str" cm="1">
        <f t="array" aca="1" ref="A33" ca="1">INDIRECT("'"&amp;B$4&amp;"'!f23")</f>
        <v>Protein</v>
      </c>
      <c r="B33" s="120" cm="1">
        <f t="array" aca="1" ref="B33" ca="1">INDIRECT("'"&amp;B$4&amp;"'!F24")</f>
        <v>7.4137881883584E-2</v>
      </c>
      <c r="C33" t="s">
        <v>130</v>
      </c>
      <c r="D33" s="84" t="str" cm="1">
        <f t="array" aca="1" ref="D33" ca="1">INDIRECT("'"&amp;B$4&amp;"'!F28")</f>
        <v>0g</v>
      </c>
      <c r="F33" s="83" t="str" cm="1">
        <f t="array" aca="1" ref="F33" ca="1">INDIRECT("'"&amp;G$4&amp;"'!f23")</f>
        <v>Protein</v>
      </c>
      <c r="G33" s="120" cm="1">
        <f t="array" aca="1" ref="G33" ca="1">INDIRECT("'"&amp;G$4&amp;"'!F24")</f>
        <v>8.4371271599999978E-2</v>
      </c>
      <c r="H33" t="s">
        <v>130</v>
      </c>
      <c r="I33" s="131" t="str" cm="1">
        <f t="array" aca="1" ref="I33" ca="1">INDIRECT("'"&amp;G$4&amp;"'!F28")</f>
        <v>0g</v>
      </c>
    </row>
    <row r="34" spans="1:9" x14ac:dyDescent="0.35">
      <c r="A34" s="83" t="str" cm="1">
        <f t="array" aca="1" ref="A34" ca="1">INDIRECT("'"&amp;B$4&amp;"'!C30")</f>
        <v>Total Fat</v>
      </c>
      <c r="B34" s="120" cm="1">
        <f t="array" aca="1" ref="B34" ca="1">INDIRECT("'"&amp;B$4&amp;"'!C31")</f>
        <v>3.7341652095360008E-2</v>
      </c>
      <c r="C34" t="s">
        <v>126</v>
      </c>
      <c r="D34" s="84" t="str" cm="1">
        <f t="array" aca="1" ref="D34" ca="1">INDIRECT("'"&amp;B$4&amp;"'!C35")</f>
        <v>none</v>
      </c>
      <c r="F34" s="83" t="str" cm="1">
        <f t="array" aca="1" ref="F34" ca="1">INDIRECT("'"&amp;G$4&amp;"'!C30")</f>
        <v>Total Fat</v>
      </c>
      <c r="G34" s="120" cm="1">
        <f t="array" aca="1" ref="G34" ca="1">INDIRECT("'"&amp;G$4&amp;"'!C31")</f>
        <v>3.7502915999999997E-2</v>
      </c>
      <c r="H34" t="s">
        <v>126</v>
      </c>
      <c r="I34" s="131" t="str" cm="1">
        <f t="array" aca="1" ref="I34" ca="1">INDIRECT("'"&amp;G$4&amp;"'!C35")</f>
        <v>none</v>
      </c>
    </row>
    <row r="35" spans="1:9" x14ac:dyDescent="0.35">
      <c r="A35" s="83" t="str" cm="1">
        <f t="array" aca="1" ref="A35" ca="1">INDIRECT("'"&amp;B$4&amp;"'!D30")</f>
        <v>Saturated Fat</v>
      </c>
      <c r="B35" s="120" cm="1">
        <f t="array" aca="1" ref="B35" ca="1">INDIRECT("'"&amp;B$4&amp;"'!D31")</f>
        <v>6.1942595235840014E-3</v>
      </c>
      <c r="C35" t="s">
        <v>126</v>
      </c>
      <c r="D35" s="84" t="str" cm="1">
        <f t="array" aca="1" ref="D35" ca="1">INDIRECT("'"&amp;B$4&amp;"'!D35")</f>
        <v>none</v>
      </c>
      <c r="F35" s="83" t="str" cm="1">
        <f t="array" aca="1" ref="F35" ca="1">INDIRECT("'"&amp;G$4&amp;"'!D30")</f>
        <v>Saturated Fat</v>
      </c>
      <c r="G35" s="120" cm="1">
        <f t="array" aca="1" ref="G35" ca="1">INDIRECT("'"&amp;G$4&amp;"'!D31")</f>
        <v>6.1638455999999996E-3</v>
      </c>
      <c r="H35" t="s">
        <v>126</v>
      </c>
      <c r="I35" s="131" t="str" cm="1">
        <f t="array" aca="1" ref="I35" ca="1">INDIRECT("'"&amp;G$4&amp;"'!D35")</f>
        <v>none</v>
      </c>
    </row>
    <row r="36" spans="1:9" x14ac:dyDescent="0.35">
      <c r="A36" s="83" t="str" cm="1">
        <f t="array" aca="1" ref="A36" ca="1">INDIRECT("'"&amp;B$4&amp;"'!E30")</f>
        <v>Trans Fat</v>
      </c>
      <c r="B36" s="120" cm="1">
        <f t="array" aca="1" ref="B36" ca="1">INDIRECT("'"&amp;B$4&amp;"'!E31")</f>
        <v>0</v>
      </c>
      <c r="C36" t="s">
        <v>126</v>
      </c>
      <c r="D36" s="84" t="str" cm="1">
        <f t="array" aca="1" ref="D36" ca="1">INDIRECT("'"&amp;B$4&amp;"'!E35")</f>
        <v>none</v>
      </c>
      <c r="F36" s="83" t="str" cm="1">
        <f t="array" aca="1" ref="F36" ca="1">INDIRECT("'"&amp;G$4&amp;"'!E30")</f>
        <v>Trans Fat</v>
      </c>
      <c r="G36" s="120" cm="1">
        <f t="array" aca="1" ref="G36" ca="1">INDIRECT("'"&amp;G$4&amp;"'!E31")</f>
        <v>0</v>
      </c>
      <c r="H36" t="s">
        <v>126</v>
      </c>
      <c r="I36" s="131" t="str" cm="1">
        <f t="array" aca="1" ref="I36" ca="1">INDIRECT("'"&amp;G$4&amp;"'!E35")</f>
        <v>none</v>
      </c>
    </row>
    <row r="37" spans="1:9" x14ac:dyDescent="0.35">
      <c r="A37" s="83" t="str" cm="1">
        <f t="array" aca="1" ref="A37" ca="1">INDIRECT("'"&amp;B$4&amp;"'!f30")</f>
        <v>Cholesterol</v>
      </c>
      <c r="B37" s="120" cm="1">
        <f t="array" aca="1" ref="B37" ca="1">INDIRECT("'"&amp;B$4&amp;"'!f31")</f>
        <v>0</v>
      </c>
      <c r="C37" t="s">
        <v>130</v>
      </c>
      <c r="D37" s="84" t="str" cm="1">
        <f t="array" aca="1" ref="D37" ca="1">INDIRECT("'"&amp;B$4&amp;"'!f35")</f>
        <v>none</v>
      </c>
      <c r="F37" s="83" t="str" cm="1">
        <f t="array" aca="1" ref="F37" ca="1">INDIRECT("'"&amp;G$4&amp;"'!f30")</f>
        <v>Cholesterol</v>
      </c>
      <c r="G37" s="120" cm="1">
        <f t="array" aca="1" ref="G37" ca="1">INDIRECT("'"&amp;G$4&amp;"'!f31")</f>
        <v>0</v>
      </c>
      <c r="H37" t="s">
        <v>130</v>
      </c>
      <c r="I37" s="131" t="str" cm="1">
        <f t="array" aca="1" ref="I37" ca="1">INDIRECT("'"&amp;G$4&amp;"'!f35")</f>
        <v>none</v>
      </c>
    </row>
    <row r="38" spans="1:9" x14ac:dyDescent="0.35">
      <c r="A38" s="83" t="str" cm="1">
        <f t="array" aca="1" ref="A38" ca="1">INDIRECT("'"&amp;B$4&amp;"'!C37")</f>
        <v>Calories (US Rules)</v>
      </c>
      <c r="B38" s="120" cm="1">
        <f t="array" aca="1" ref="B38" ca="1">INDIRECT("'"&amp;B$4&amp;"'!C38")</f>
        <v>15.244345929376898</v>
      </c>
      <c r="C38" t="s">
        <v>123</v>
      </c>
      <c r="D38" s="84" t="str" cm="1">
        <f t="array" aca="1" ref="D38" ca="1">INDIRECT("'"&amp;B$4&amp;"'!C42")</f>
        <v>15kCal</v>
      </c>
      <c r="F38" s="83" t="str" cm="1">
        <f t="array" aca="1" ref="F38" ca="1">INDIRECT("'"&amp;G$4&amp;"'!C37")</f>
        <v>Calories (US Rules)</v>
      </c>
      <c r="G38" s="120" cm="1">
        <f t="array" aca="1" ref="G38" ca="1">INDIRECT("'"&amp;G$4&amp;"'!C38")</f>
        <v>17.203898210399998</v>
      </c>
      <c r="H38" t="s">
        <v>123</v>
      </c>
      <c r="I38" s="131" t="str" cm="1">
        <f t="array" aca="1" ref="I38" ca="1">INDIRECT("'"&amp;G$4&amp;"'!C42")</f>
        <v>15kCal</v>
      </c>
    </row>
    <row r="39" spans="1:9" x14ac:dyDescent="0.35">
      <c r="A39" s="83" t="str" cm="1">
        <f t="array" aca="1" ref="A39" ca="1">INDIRECT("'"&amp;B$4&amp;"'!D37")</f>
        <v>Calories from Fat</v>
      </c>
      <c r="B39" s="120" cm="1">
        <f t="array" aca="1" ref="B39" ca="1">INDIRECT("'"&amp;B$4&amp;"'!D38")</f>
        <v>0.18050563868812802</v>
      </c>
      <c r="C39" t="s">
        <v>123</v>
      </c>
      <c r="D39" s="84" t="str" cm="1">
        <f t="array" aca="1" ref="D39" ca="1">INDIRECT("'"&amp;B$4&amp;"'!D42")</f>
        <v>none</v>
      </c>
      <c r="F39" s="83" t="str" cm="1">
        <f t="array" aca="1" ref="F39" ca="1">INDIRECT("'"&amp;G$4&amp;"'!D37")</f>
        <v>Calories from Fat</v>
      </c>
      <c r="G39" s="120" cm="1">
        <f t="array" aca="1" ref="G39" ca="1">INDIRECT("'"&amp;G$4&amp;"'!D38")</f>
        <v>0.16048277519999998</v>
      </c>
      <c r="H39" t="s">
        <v>123</v>
      </c>
      <c r="I39" s="131" t="str" cm="1">
        <f t="array" aca="1" ref="I39" ca="1">INDIRECT("'"&amp;G$4&amp;"'!D42")</f>
        <v>none</v>
      </c>
    </row>
    <row r="40" spans="1:9" x14ac:dyDescent="0.35">
      <c r="A40" s="83" t="str" cm="1">
        <f t="array" aca="1" ref="A40" ca="1">INDIRECT("'"&amp;B$4&amp;"'!E37")</f>
        <v xml:space="preserve">Sugar </v>
      </c>
      <c r="B40" s="120" cm="1">
        <f t="array" aca="1" ref="B40" ca="1">INDIRECT("'"&amp;B$4&amp;"'!E38")</f>
        <v>0.11418552529440001</v>
      </c>
      <c r="C40" t="s">
        <v>126</v>
      </c>
      <c r="D40" s="84" cm="1">
        <f t="array" aca="1" ref="D40" ca="1">INDIRECT("'"&amp;B$4&amp;"'!E42")</f>
        <v>0</v>
      </c>
      <c r="F40" s="83" t="str" cm="1">
        <f t="array" aca="1" ref="F40" ca="1">INDIRECT("'"&amp;G$4&amp;"'!E37")</f>
        <v xml:space="preserve">Sugar </v>
      </c>
      <c r="G40" s="120" cm="1">
        <f t="array" aca="1" ref="G40" ca="1">INDIRECT("'"&amp;G$4&amp;"'!E38")</f>
        <v>0.12094565999999997</v>
      </c>
      <c r="H40" t="s">
        <v>126</v>
      </c>
      <c r="I40" s="131" cm="1">
        <f t="array" aca="1" ref="I40" ca="1">INDIRECT("'"&amp;G$4&amp;"'!E42")</f>
        <v>0</v>
      </c>
    </row>
    <row r="41" spans="1:9" x14ac:dyDescent="0.35">
      <c r="A41" s="83" t="str" cm="1">
        <f t="array" aca="1" ref="A41" ca="1">INDIRECT("'"&amp;B$4&amp;"'!f37")</f>
        <v>Added Sugars</v>
      </c>
      <c r="B41" s="120" cm="1">
        <f t="array" aca="1" ref="B41" ca="1">INDIRECT("'"&amp;B$4&amp;"'!f38")</f>
        <v>4.5741932088000002E-2</v>
      </c>
      <c r="C41" t="s">
        <v>126</v>
      </c>
      <c r="D41" s="84" cm="1">
        <f t="array" aca="1" ref="D41" ca="1">INDIRECT("'"&amp;B$4&amp;"'!f42")</f>
        <v>0</v>
      </c>
      <c r="F41" s="83" t="str" cm="1">
        <f t="array" aca="1" ref="F41" ca="1">INDIRECT("'"&amp;G$4&amp;"'!f37")</f>
        <v>Added Sugars</v>
      </c>
      <c r="G41" s="120" cm="1">
        <f t="array" aca="1" ref="G41" ca="1">INDIRECT("'"&amp;G$4&amp;"'!f38")</f>
        <v>4.3058399999999997E-2</v>
      </c>
      <c r="H41" t="s">
        <v>126</v>
      </c>
      <c r="I41" s="131" cm="1">
        <f t="array" aca="1" ref="I41" ca="1">INDIRECT("'"&amp;G$4&amp;"'!f42")</f>
        <v>0</v>
      </c>
    </row>
    <row r="42" spans="1:9" x14ac:dyDescent="0.35">
      <c r="A42" s="83" t="str" cm="1">
        <f t="array" aca="1" ref="A42" ca="1">INDIRECT("'"&amp;B$4&amp;"'!G37")</f>
        <v>Sodium</v>
      </c>
      <c r="B42" s="120" cm="1">
        <f t="array" aca="1" ref="B42" ca="1">INDIRECT("'"&amp;B$4&amp;"'!G38")</f>
        <v>5.1773642887344007</v>
      </c>
      <c r="C42" t="s">
        <v>130</v>
      </c>
      <c r="D42" s="84" t="str" cm="1">
        <f t="array" aca="1" ref="D42" ca="1">INDIRECT("'"&amp;B$4&amp;"'!G42")</f>
        <v>5mg</v>
      </c>
      <c r="F42" s="83" t="str" cm="1">
        <f t="array" aca="1" ref="F42" ca="1">INDIRECT("'"&amp;G$4&amp;"'!G37")</f>
        <v>Sodium</v>
      </c>
      <c r="G42" s="120" cm="1">
        <f t="array" aca="1" ref="G42" ca="1">INDIRECT("'"&amp;G$4&amp;"'!G38")</f>
        <v>5.8847929799999985</v>
      </c>
      <c r="H42" t="s">
        <v>130</v>
      </c>
      <c r="I42" s="131" t="str" cm="1">
        <f t="array" aca="1" ref="I42" ca="1">INDIRECT("'"&amp;G$4&amp;"'!G42")</f>
        <v>5mg</v>
      </c>
    </row>
    <row r="44" spans="1:9" s="77" customFormat="1" x14ac:dyDescent="0.35">
      <c r="A44" s="96" t="s">
        <v>127</v>
      </c>
      <c r="D44" s="95"/>
      <c r="F44" s="96" t="s">
        <v>95</v>
      </c>
      <c r="I44" s="95"/>
    </row>
    <row r="45" spans="1:9" x14ac:dyDescent="0.35">
      <c r="A45" s="83" t="s">
        <v>101</v>
      </c>
      <c r="B45" cm="1">
        <f t="array" aca="1" ref="B45" ca="1">INDIRECT("'"&amp;B$4&amp;"'!C5")</f>
        <v>21.580659792429699</v>
      </c>
      <c r="C45" t="s">
        <v>123</v>
      </c>
      <c r="F45" s="83" t="s">
        <v>101</v>
      </c>
      <c r="G45" cm="1">
        <f t="array" aca="1" ref="G45" ca="1">INDIRECT("'"&amp;G$4&amp;"'!C5")</f>
        <v>24.414854930399997</v>
      </c>
      <c r="H45" t="s">
        <v>123</v>
      </c>
    </row>
    <row r="46" spans="1:9" x14ac:dyDescent="0.35">
      <c r="A46" s="83" t="s">
        <v>102</v>
      </c>
      <c r="B46" cm="1">
        <f t="array" aca="1" ref="B46" ca="1">INDIRECT("'"&amp;B$4&amp;"'!C6")</f>
        <v>16.112244738631297</v>
      </c>
      <c r="C46" t="s">
        <v>123</v>
      </c>
      <c r="F46" s="83" t="s">
        <v>102</v>
      </c>
      <c r="G46" cm="1">
        <f t="array" aca="1" ref="G46" ca="1">INDIRECT("'"&amp;G$4&amp;"'!C6")</f>
        <v>18.191598770399999</v>
      </c>
      <c r="H46" t="s">
        <v>123</v>
      </c>
    </row>
    <row r="47" spans="1:9" x14ac:dyDescent="0.35">
      <c r="A47" s="97" t="s">
        <v>103</v>
      </c>
      <c r="B47" s="98" cm="1">
        <f t="array" aca="1" ref="B47" ca="1">INDIRECT("'"&amp;B$4&amp;"'!C7")</f>
        <v>15.244345929376898</v>
      </c>
      <c r="C47" s="98" t="s">
        <v>123</v>
      </c>
      <c r="D47" s="99" t="str" cm="1">
        <f t="array" aca="1" ref="D47" ca="1">INDIRECT("'"&amp;B$4&amp;"'!C42")</f>
        <v>15kCal</v>
      </c>
      <c r="F47" s="97" t="s">
        <v>103</v>
      </c>
      <c r="G47" s="98" cm="1">
        <f t="array" aca="1" ref="G47" ca="1">INDIRECT("'"&amp;G$4&amp;"'!C7")</f>
        <v>17.203898210399998</v>
      </c>
      <c r="H47" s="98" t="s">
        <v>123</v>
      </c>
      <c r="I47" s="99" t="str" cm="1">
        <f t="array" aca="1" ref="I47" ca="1">INDIRECT("'"&amp;G$4&amp;"'!C42")</f>
        <v>15kCal</v>
      </c>
    </row>
  </sheetData>
  <mergeCells count="4">
    <mergeCell ref="A2:D2"/>
    <mergeCell ref="F2:I2"/>
    <mergeCell ref="A5:D5"/>
    <mergeCell ref="F5:I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C757E04-089E-4F56-B2D0-0BFD89E99D6F}">
          <x14:formula1>
            <xm:f>Ingredients!$A$34:$A$50</xm:f>
          </x14:formula1>
          <xm:sqref>A2:D2</xm:sqref>
        </x14:dataValidation>
        <x14:dataValidation type="list" allowBlank="1" showInputMessage="1" showErrorMessage="1" xr:uid="{8A3CA2B0-6388-4BFF-BD9F-2EA10535CD7A}">
          <x14:formula1>
            <xm:f>Ingredients!$A$33:$A$52</xm:f>
          </x14:formula1>
          <xm:sqref>F2:I2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61FF6-E7FD-43FF-A634-2F1183116EB0}">
  <dimension ref="A1:W34"/>
  <sheetViews>
    <sheetView topLeftCell="A2" zoomScaleNormal="100" workbookViewId="0">
      <selection activeCell="C7" sqref="C7"/>
    </sheetView>
  </sheetViews>
  <sheetFormatPr defaultRowHeight="14.5" x14ac:dyDescent="0.35"/>
  <cols>
    <col min="1" max="1" width="3" bestFit="1" customWidth="1"/>
    <col min="2" max="2" width="20.1796875" bestFit="1" customWidth="1"/>
    <col min="3" max="3" width="13.1796875" bestFit="1" customWidth="1"/>
    <col min="4" max="4" width="16.453125" bestFit="1" customWidth="1"/>
    <col min="5" max="6" width="12.6328125" customWidth="1"/>
    <col min="7" max="23" width="12.6328125" style="66" customWidth="1"/>
  </cols>
  <sheetData>
    <row r="1" spans="1:23" s="44" customFormat="1" x14ac:dyDescent="0.35">
      <c r="B1" s="45" t="s">
        <v>88</v>
      </c>
      <c r="C1" s="46">
        <v>46078</v>
      </c>
      <c r="D1" s="47" t="s">
        <v>89</v>
      </c>
      <c r="E1" s="45" t="s">
        <v>90</v>
      </c>
      <c r="F1" s="47" t="s">
        <v>91</v>
      </c>
      <c r="G1" s="64" t="s">
        <v>92</v>
      </c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</row>
    <row r="2" spans="1:23" x14ac:dyDescent="0.35">
      <c r="B2" t="s">
        <v>35</v>
      </c>
    </row>
    <row r="3" spans="1:23" x14ac:dyDescent="0.35">
      <c r="B3" s="13" t="s">
        <v>36</v>
      </c>
    </row>
    <row r="4" spans="1:23" x14ac:dyDescent="0.35">
      <c r="B4" t="s">
        <v>37</v>
      </c>
      <c r="D4" s="37"/>
    </row>
    <row r="5" spans="1:23" x14ac:dyDescent="0.35">
      <c r="B5" t="s">
        <v>38</v>
      </c>
      <c r="C5" t="s">
        <v>3</v>
      </c>
      <c r="D5" s="13" t="s">
        <v>134</v>
      </c>
    </row>
    <row r="6" spans="1:23" ht="15" thickBot="1" x14ac:dyDescent="0.4">
      <c r="B6" s="13" t="s">
        <v>93</v>
      </c>
      <c r="C6" s="13">
        <v>5.8272000000000004</v>
      </c>
      <c r="D6">
        <f>C6*2</f>
        <v>11.654400000000001</v>
      </c>
    </row>
    <row r="7" spans="1:23" ht="15" thickBot="1" x14ac:dyDescent="0.4">
      <c r="B7" s="62" t="s">
        <v>114</v>
      </c>
      <c r="C7" s="63">
        <f>C6</f>
        <v>5.8272000000000004</v>
      </c>
      <c r="E7" t="s">
        <v>113</v>
      </c>
    </row>
    <row r="8" spans="1:23" ht="27" customHeight="1" x14ac:dyDescent="0.35">
      <c r="B8" s="10" t="s">
        <v>39</v>
      </c>
      <c r="C8" s="11">
        <f>SUM(C14:C34)</f>
        <v>0.99999999999999989</v>
      </c>
      <c r="D8" s="16">
        <f>SUM(D14:D21)</f>
        <v>5.8272000000000004</v>
      </c>
      <c r="E8" s="36">
        <f ca="1">'Nutrition STOF'!C7</f>
        <v>30.34974158512</v>
      </c>
      <c r="F8" s="36">
        <f t="shared" ref="F8:W8" si="0">SUM(F14:F34)</f>
        <v>0.18050563868812802</v>
      </c>
      <c r="G8" s="67">
        <f t="shared" si="0"/>
        <v>3.7341652095360008E-2</v>
      </c>
      <c r="H8" s="67">
        <f t="shared" si="0"/>
        <v>6.1942595235840014E-3</v>
      </c>
      <c r="I8" s="67">
        <f t="shared" si="0"/>
        <v>0</v>
      </c>
      <c r="J8" s="68">
        <f>SUM(J14:J34)</f>
        <v>0</v>
      </c>
      <c r="K8" s="67">
        <f t="shared" si="0"/>
        <v>5.2370083490092805</v>
      </c>
      <c r="L8" s="67">
        <f t="shared" si="0"/>
        <v>2.7342075268991999</v>
      </c>
      <c r="M8" s="67">
        <f t="shared" si="0"/>
        <v>2.300258122272</v>
      </c>
      <c r="N8" s="67">
        <f t="shared" si="0"/>
        <v>0.11418552529440001</v>
      </c>
      <c r="O8" s="67">
        <f t="shared" si="0"/>
        <v>4.5741932088000002E-2</v>
      </c>
      <c r="P8" s="73">
        <f t="shared" si="0"/>
        <v>0.26450765695392003</v>
      </c>
      <c r="Q8" s="73">
        <f t="shared" si="0"/>
        <v>27.641746811217605</v>
      </c>
      <c r="R8" s="73">
        <f t="shared" si="0"/>
        <v>5.1773642887344007</v>
      </c>
      <c r="S8" s="73">
        <f t="shared" si="0"/>
        <v>5.9167702000416016</v>
      </c>
      <c r="T8" s="69">
        <f t="shared" si="0"/>
        <v>0.38088820574207999</v>
      </c>
      <c r="U8" s="68">
        <f t="shared" si="0"/>
        <v>1.2702829824E-4</v>
      </c>
      <c r="V8" s="70">
        <f t="shared" si="0"/>
        <v>0</v>
      </c>
      <c r="W8" s="67">
        <f t="shared" si="0"/>
        <v>7.4137881883584E-2</v>
      </c>
    </row>
    <row r="9" spans="1:23" x14ac:dyDescent="0.35">
      <c r="E9" s="148" t="s">
        <v>40</v>
      </c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</row>
    <row r="10" spans="1:23" x14ac:dyDescent="0.35">
      <c r="B10" t="s">
        <v>112</v>
      </c>
      <c r="C10" s="37">
        <v>2</v>
      </c>
      <c r="D10" s="61">
        <f>C6*2</f>
        <v>11.654400000000001</v>
      </c>
      <c r="E10" s="36">
        <f ca="1">E8*$C$10</f>
        <v>60.699483170240001</v>
      </c>
      <c r="F10" s="36">
        <f t="shared" ref="F10:W10" si="1">F8*$C$10</f>
        <v>0.36101127737625605</v>
      </c>
      <c r="G10" s="67">
        <f t="shared" si="1"/>
        <v>7.4683304190720015E-2</v>
      </c>
      <c r="H10" s="67">
        <f t="shared" si="1"/>
        <v>1.2388519047168003E-2</v>
      </c>
      <c r="I10" s="67">
        <f t="shared" si="1"/>
        <v>0</v>
      </c>
      <c r="J10" s="68">
        <f t="shared" si="1"/>
        <v>0</v>
      </c>
      <c r="K10" s="67">
        <f t="shared" si="1"/>
        <v>10.474016698018561</v>
      </c>
      <c r="L10" s="67">
        <f t="shared" si="1"/>
        <v>5.4684150537983998</v>
      </c>
      <c r="M10" s="67">
        <f t="shared" si="1"/>
        <v>4.600516244544</v>
      </c>
      <c r="N10" s="67">
        <f t="shared" si="1"/>
        <v>0.22837105058880003</v>
      </c>
      <c r="O10" s="67">
        <f t="shared" si="1"/>
        <v>9.1483864176000004E-2</v>
      </c>
      <c r="P10" s="73">
        <f t="shared" si="1"/>
        <v>0.52901531390784007</v>
      </c>
      <c r="Q10" s="73">
        <f t="shared" si="1"/>
        <v>55.283493622435209</v>
      </c>
      <c r="R10" s="73">
        <f t="shared" si="1"/>
        <v>10.354728577468801</v>
      </c>
      <c r="S10" s="73">
        <f t="shared" si="1"/>
        <v>11.833540400083203</v>
      </c>
      <c r="T10" s="69">
        <f t="shared" si="1"/>
        <v>0.76177641148415998</v>
      </c>
      <c r="U10" s="68">
        <f t="shared" si="1"/>
        <v>2.5405659648E-4</v>
      </c>
      <c r="V10" s="70">
        <f t="shared" si="1"/>
        <v>0</v>
      </c>
      <c r="W10" s="67">
        <f t="shared" si="1"/>
        <v>0.148275763767168</v>
      </c>
    </row>
    <row r="11" spans="1:23" x14ac:dyDescent="0.35">
      <c r="D11" s="38"/>
    </row>
    <row r="12" spans="1:23" x14ac:dyDescent="0.35">
      <c r="C12" s="100">
        <f>SUM(C14:C34)</f>
        <v>0.99999999999999989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</row>
    <row r="13" spans="1:23" s="9" customFormat="1" ht="29" x14ac:dyDescent="0.35">
      <c r="B13" s="9" t="s">
        <v>0</v>
      </c>
      <c r="C13" s="9" t="s">
        <v>41</v>
      </c>
      <c r="D13" s="9" t="s">
        <v>42</v>
      </c>
      <c r="E13" s="9" t="s">
        <v>43</v>
      </c>
      <c r="F13" s="9" t="s">
        <v>5</v>
      </c>
      <c r="G13" s="71" t="s">
        <v>6</v>
      </c>
      <c r="H13" s="71" t="s">
        <v>7</v>
      </c>
      <c r="I13" s="71" t="s">
        <v>8</v>
      </c>
      <c r="J13" s="71" t="s">
        <v>9</v>
      </c>
      <c r="K13" s="71" t="s">
        <v>10</v>
      </c>
      <c r="L13" s="71" t="s">
        <v>11</v>
      </c>
      <c r="M13" s="71" t="s">
        <v>12</v>
      </c>
      <c r="N13" s="71" t="s">
        <v>13</v>
      </c>
      <c r="O13" s="71" t="s">
        <v>14</v>
      </c>
      <c r="P13" s="71" t="s">
        <v>15</v>
      </c>
      <c r="Q13" s="71" t="s">
        <v>16</v>
      </c>
      <c r="R13" s="71" t="s">
        <v>17</v>
      </c>
      <c r="S13" s="71" t="s">
        <v>18</v>
      </c>
      <c r="T13" s="71" t="s">
        <v>19</v>
      </c>
      <c r="U13" s="71" t="s">
        <v>20</v>
      </c>
      <c r="V13" s="71" t="s">
        <v>21</v>
      </c>
      <c r="W13" s="71" t="s">
        <v>22</v>
      </c>
    </row>
    <row r="14" spans="1:23" x14ac:dyDescent="0.35">
      <c r="A14">
        <v>1</v>
      </c>
      <c r="B14" s="14" t="s">
        <v>23</v>
      </c>
      <c r="C14" s="121">
        <v>0.55992200000000003</v>
      </c>
      <c r="D14" s="17">
        <f t="shared" ref="D14:D20" si="2">C14*$C$7</f>
        <v>3.2627774784000003</v>
      </c>
      <c r="E14" s="36">
        <f>VLOOKUP($B14,Ingredients!$A:$W,5,FALSE)*$D14/100</f>
        <v>11.772101142067202</v>
      </c>
      <c r="F14" s="36">
        <f>VLOOKUP($B14,Ingredients!$A:$W,6,FALSE)*$D14/100</f>
        <v>0.14101724261644802</v>
      </c>
      <c r="G14" s="67">
        <f>VLOOKUP($B14,Ingredients!$A:$W,7,FALSE)*$D14/100</f>
        <v>3.2954052531840007E-2</v>
      </c>
      <c r="H14" s="67">
        <f>VLOOKUP($B14,Ingredients!$A:$W,8,FALSE)*$D14/100</f>
        <v>5.4162106141440007E-3</v>
      </c>
      <c r="I14" s="67">
        <f>VLOOKUP($B14,Ingredients!$A:$W,9,FALSE)*$D14/100</f>
        <v>0</v>
      </c>
      <c r="J14" s="68">
        <f>VLOOKUP($B14,Ingredients!$A:$W,10,FALSE)*$D14/100</f>
        <v>0</v>
      </c>
      <c r="K14" s="67">
        <f>VLOOKUP($B14,Ingredients!$A:$W,11,FALSE)*$D14/100</f>
        <v>2.8386164062080002</v>
      </c>
      <c r="L14" s="67">
        <f>VLOOKUP($B14,Ingredients!$A:$W,12,FALSE)*$D14/100</f>
        <v>2.7342075268991999</v>
      </c>
      <c r="M14" s="67">
        <f>VLOOKUP($B14,Ingredients!$A:$W,13,FALSE)*$D14/100</f>
        <v>2.300258122272</v>
      </c>
      <c r="N14" s="67">
        <f>VLOOKUP($B14,Ingredients!$A:$W,14,FALSE)*$D14/100</f>
        <v>3.2627774784000007E-3</v>
      </c>
      <c r="O14" s="67">
        <f>VLOOKUP($B14,Ingredients!$A:$W,15,FALSE)*$D14/100</f>
        <v>0</v>
      </c>
      <c r="P14" s="73">
        <f>VLOOKUP($B14,Ingredients!$A:$W,16,FALSE)*$D14/100</f>
        <v>0.2544966433152</v>
      </c>
      <c r="Q14" s="73">
        <f>VLOOKUP($B14,Ingredients!$A:$W,17,FALSE)*$D14/100</f>
        <v>27.635725242048</v>
      </c>
      <c r="R14" s="73">
        <f>VLOOKUP($B14,Ingredients!$A:$W,18,FALSE)*$D14/100</f>
        <v>2.2953639560544001</v>
      </c>
      <c r="S14" s="73">
        <f>VLOOKUP($B14,Ingredients!$A:$W,19,FALSE)*$D14/100</f>
        <v>5.7154073089132806</v>
      </c>
      <c r="T14" s="69">
        <f>VLOOKUP($B14,Ingredients!$A:$W,20,FALSE)*$D14/100</f>
        <v>0</v>
      </c>
      <c r="U14" s="68">
        <f>VLOOKUP($B14,Ingredients!$A:$W,21,FALSE)*$D14/100</f>
        <v>0</v>
      </c>
      <c r="V14" s="70">
        <f>VLOOKUP($B14,Ingredients!$A:$W,22,FALSE)*$D14/100</f>
        <v>0</v>
      </c>
      <c r="W14" s="67">
        <f>VLOOKUP($B14,Ingredients!$A:$W,23,FALSE)*$D14/100</f>
        <v>6.8550954821184007E-2</v>
      </c>
    </row>
    <row r="15" spans="1:23" x14ac:dyDescent="0.35">
      <c r="A15">
        <v>2</v>
      </c>
      <c r="B15" s="14" t="s">
        <v>24</v>
      </c>
      <c r="C15" s="121">
        <v>0.31958900000000001</v>
      </c>
      <c r="D15" s="17">
        <f t="shared" si="2"/>
        <v>1.8623090208000002</v>
      </c>
      <c r="E15" s="36">
        <f>VLOOKUP($B15,Ingredients!$A:$W,5,FALSE)*$D15/100</f>
        <v>7.0395280986240003</v>
      </c>
      <c r="F15" s="36">
        <f>VLOOKUP($B15,Ingredients!$A:$W,6,FALSE)*$D15/100</f>
        <v>0</v>
      </c>
      <c r="G15" s="67">
        <f>VLOOKUP($B15,Ingredients!$A:$W,7,FALSE)*$D15/100</f>
        <v>0</v>
      </c>
      <c r="H15" s="67">
        <f>VLOOKUP($B15,Ingredients!$A:$W,8,FALSE)*$D15/100</f>
        <v>0</v>
      </c>
      <c r="I15" s="67">
        <f>VLOOKUP($B15,Ingredients!$A:$W,9,FALSE)*$D15/100</f>
        <v>0</v>
      </c>
      <c r="J15" s="68">
        <f>VLOOKUP($B15,Ingredients!$A:$W,10,FALSE)*$D15/100</f>
        <v>0</v>
      </c>
      <c r="K15" s="67">
        <f>VLOOKUP($B15,Ingredients!$A:$W,11,FALSE)*$D15/100</f>
        <v>1.7542950975936003</v>
      </c>
      <c r="L15" s="67">
        <f>VLOOKUP($B15,Ingredients!$A:$W,12,FALSE)*$D15/100</f>
        <v>0</v>
      </c>
      <c r="M15" s="67">
        <f>VLOOKUP($B15,Ingredients!$A:$W,13,FALSE)*$D15/100</f>
        <v>0</v>
      </c>
      <c r="N15" s="67">
        <f>VLOOKUP($B15,Ingredients!$A:$W,14,FALSE)*$D15/100</f>
        <v>6.5180815728000011E-2</v>
      </c>
      <c r="O15" s="67">
        <f>VLOOKUP($B15,Ingredients!$A:$W,15,FALSE)*$D15/100</f>
        <v>0</v>
      </c>
      <c r="P15" s="73">
        <f>VLOOKUP($B15,Ingredients!$A:$W,16,FALSE)*$D15/100</f>
        <v>9.3115451040000005E-3</v>
      </c>
      <c r="Q15" s="73">
        <f>VLOOKUP($B15,Ingredients!$A:$W,17,FALSE)*$D15/100</f>
        <v>0</v>
      </c>
      <c r="R15" s="73">
        <f>VLOOKUP($B15,Ingredients!$A:$W,18,FALSE)*$D15/100</f>
        <v>2.7934635312</v>
      </c>
      <c r="S15" s="73">
        <f>VLOOKUP($B15,Ingredients!$A:$W,19,FALSE)*$D15/100</f>
        <v>0.18623090208000001</v>
      </c>
      <c r="T15" s="69">
        <f>VLOOKUP($B15,Ingredients!$A:$W,20,FALSE)*$D15/100</f>
        <v>0</v>
      </c>
      <c r="U15" s="68">
        <f>VLOOKUP($B15,Ingredients!$A:$W,21,FALSE)*$D15/100</f>
        <v>0</v>
      </c>
      <c r="V15" s="70">
        <f>VLOOKUP($B15,Ingredients!$A:$W,22,FALSE)*$D15/100</f>
        <v>0</v>
      </c>
      <c r="W15" s="67">
        <f>VLOOKUP($B15,Ingredients!$A:$W,23,FALSE)*$D15/100</f>
        <v>5.5869270624000003E-3</v>
      </c>
    </row>
    <row r="16" spans="1:23" x14ac:dyDescent="0.35">
      <c r="A16">
        <v>3</v>
      </c>
      <c r="B16" s="14" t="s">
        <v>26</v>
      </c>
      <c r="C16" s="121">
        <v>8.5018999999999997E-2</v>
      </c>
      <c r="D16" s="17">
        <f t="shared" si="2"/>
        <v>0.4954227168</v>
      </c>
      <c r="E16" s="36">
        <f>VLOOKUP($B16,Ingredients!$A:$W,5,FALSE)*$D16/100</f>
        <v>1.223694110496</v>
      </c>
      <c r="F16" s="36">
        <f>VLOOKUP($B16,Ingredients!$A:$W,6,FALSE)*$D16/100</f>
        <v>0</v>
      </c>
      <c r="G16" s="67">
        <f>VLOOKUP($B16,Ingredients!$A:$W,7,FALSE)*$D16/100</f>
        <v>0</v>
      </c>
      <c r="H16" s="67">
        <f>VLOOKUP($B16,Ingredients!$A:$W,8,FALSE)*$D16/100</f>
        <v>0</v>
      </c>
      <c r="I16" s="67">
        <f>VLOOKUP($B16,Ingredients!$A:$W,9,FALSE)*$D16/100</f>
        <v>0</v>
      </c>
      <c r="J16" s="68">
        <f>VLOOKUP($B16,Ingredients!$A:$W,10,FALSE)*$D16/100</f>
        <v>0</v>
      </c>
      <c r="K16" s="67">
        <f>VLOOKUP($B16,Ingredients!$A:$W,11,FALSE)*$D16/100</f>
        <v>0.49269789185760005</v>
      </c>
      <c r="L16" s="67">
        <f>VLOOKUP($B16,Ingredients!$A:$W,12,FALSE)*$D16/100</f>
        <v>0</v>
      </c>
      <c r="M16" s="67">
        <f>VLOOKUP($B16,Ingredients!$A:$W,13,FALSE)*$D16/100</f>
        <v>0</v>
      </c>
      <c r="N16" s="67">
        <f>VLOOKUP($B16,Ingredients!$A:$W,14,FALSE)*$D16/100</f>
        <v>0</v>
      </c>
      <c r="O16" s="67">
        <f>VLOOKUP($B16,Ingredients!$A:$W,15,FALSE)*$D16/100</f>
        <v>0</v>
      </c>
      <c r="P16" s="73">
        <f>VLOOKUP($B16,Ingredients!$A:$W,16,FALSE)*$D16/100</f>
        <v>0</v>
      </c>
      <c r="Q16" s="73">
        <f>VLOOKUP($B16,Ingredients!$A:$W,17,FALSE)*$D16/100</f>
        <v>1.4862681504E-3</v>
      </c>
      <c r="R16" s="73">
        <f>VLOOKUP($B16,Ingredients!$A:$W,18,FALSE)*$D16/100</f>
        <v>1.4862681504E-3</v>
      </c>
      <c r="S16" s="73">
        <f>VLOOKUP($B16,Ingredients!$A:$W,19,FALSE)*$D16/100</f>
        <v>9.9084543360000005E-4</v>
      </c>
      <c r="T16" s="69">
        <f>VLOOKUP($B16,Ingredients!$A:$W,20,FALSE)*$D16/100</f>
        <v>0</v>
      </c>
      <c r="U16" s="68">
        <f>VLOOKUP($B16,Ingredients!$A:$W,21,FALSE)*$D16/100</f>
        <v>0</v>
      </c>
      <c r="V16" s="70">
        <f>VLOOKUP($B16,Ingredients!$A:$W,22,FALSE)*$D16/100</f>
        <v>0</v>
      </c>
      <c r="W16" s="67">
        <f>VLOOKUP($B16,Ingredients!$A:$W,23,FALSE)*$D16/100</f>
        <v>0</v>
      </c>
    </row>
    <row r="17" spans="1:23" x14ac:dyDescent="0.35">
      <c r="A17">
        <v>4</v>
      </c>
      <c r="B17" s="14" t="s">
        <v>27</v>
      </c>
      <c r="C17" s="122">
        <v>7.4279999999999997E-3</v>
      </c>
      <c r="D17" s="17">
        <f t="shared" si="2"/>
        <v>4.3284441600000001E-2</v>
      </c>
      <c r="E17" s="36">
        <f>VLOOKUP($B17,Ingredients!$A:$W,5,FALSE)*$D17/100</f>
        <v>0</v>
      </c>
      <c r="F17" s="36">
        <f>VLOOKUP($B17,Ingredients!$A:$W,6,FALSE)*$D17/100</f>
        <v>0</v>
      </c>
      <c r="G17" s="67">
        <f>VLOOKUP($B17,Ingredients!$A:$W,7,FALSE)*$D17/100</f>
        <v>0</v>
      </c>
      <c r="H17" s="67">
        <f>VLOOKUP($B17,Ingredients!$A:$W,8,FALSE)*$D17/100</f>
        <v>0</v>
      </c>
      <c r="I17" s="67">
        <f>VLOOKUP($B17,Ingredients!$A:$W,9,FALSE)*$D17/100</f>
        <v>0</v>
      </c>
      <c r="J17" s="68">
        <f>VLOOKUP($B17,Ingredients!$A:$W,10,FALSE)*$D17/100</f>
        <v>0</v>
      </c>
      <c r="K17" s="67">
        <f>VLOOKUP($B17,Ingredients!$A:$W,11,FALSE)*$D17/100</f>
        <v>0</v>
      </c>
      <c r="L17" s="67">
        <f>VLOOKUP($B17,Ingredients!$A:$W,12,FALSE)*$D17/100</f>
        <v>0</v>
      </c>
      <c r="M17" s="67">
        <f>VLOOKUP($B17,Ingredients!$A:$W,13,FALSE)*$D17/100</f>
        <v>0</v>
      </c>
      <c r="N17" s="67">
        <f>VLOOKUP($B17,Ingredients!$A:$W,14,FALSE)*$D17/100</f>
        <v>0</v>
      </c>
      <c r="O17" s="67">
        <f>VLOOKUP($B17,Ingredients!$A:$W,15,FALSE)*$D17/100</f>
        <v>0</v>
      </c>
      <c r="P17" s="73">
        <f>VLOOKUP($B17,Ingredients!$A:$W,16,FALSE)*$D17/100</f>
        <v>6.9255106560000006E-4</v>
      </c>
      <c r="Q17" s="73">
        <f>VLOOKUP($B17,Ingredients!$A:$W,17,FALSE)*$D17/100</f>
        <v>1.731377664E-3</v>
      </c>
      <c r="R17" s="73">
        <f>VLOOKUP($B17,Ingredients!$A:$W,18,FALSE)*$D17/100</f>
        <v>6.4926662400000001E-3</v>
      </c>
      <c r="S17" s="73">
        <f>VLOOKUP($B17,Ingredients!$A:$W,19,FALSE)*$D17/100</f>
        <v>0</v>
      </c>
      <c r="T17" s="69">
        <f>VLOOKUP($B17,Ingredients!$A:$W,20,FALSE)*$D17/100</f>
        <v>0</v>
      </c>
      <c r="U17" s="68">
        <f>VLOOKUP($B17,Ingredients!$A:$W,21,FALSE)*$D17/100</f>
        <v>0</v>
      </c>
      <c r="V17" s="70">
        <f>VLOOKUP($B17,Ingredients!$A:$W,22,FALSE)*$D17/100</f>
        <v>0</v>
      </c>
      <c r="W17" s="67">
        <f>VLOOKUP($B17,Ingredients!$A:$W,23,FALSE)*$D17/100</f>
        <v>0</v>
      </c>
    </row>
    <row r="18" spans="1:23" ht="16.399999999999999" customHeight="1" x14ac:dyDescent="0.35">
      <c r="A18">
        <v>5</v>
      </c>
      <c r="B18" s="14" t="s">
        <v>225</v>
      </c>
      <c r="C18" s="122">
        <v>2.3206999999999998E-2</v>
      </c>
      <c r="D18" s="17">
        <f t="shared" si="2"/>
        <v>0.1352318304</v>
      </c>
      <c r="E18" s="36">
        <f>VLOOKUP($B18,Ingredients!$A:$W,5,FALSE)*$D18/100</f>
        <v>0.51388095552000002</v>
      </c>
      <c r="F18" s="36">
        <f>VLOOKUP($B18,Ingredients!$A:$W,6,FALSE)*$D18/100</f>
        <v>0</v>
      </c>
      <c r="G18" s="67">
        <f>VLOOKUP($B18,Ingredients!$A:$W,7,FALSE)*$D18/100</f>
        <v>0</v>
      </c>
      <c r="H18" s="67">
        <f>VLOOKUP($B18,Ingredients!$A:$W,8,FALSE)*$D18/100</f>
        <v>0</v>
      </c>
      <c r="I18" s="67">
        <f>VLOOKUP($B18,Ingredients!$A:$W,9,FALSE)*$D18/100</f>
        <v>0</v>
      </c>
      <c r="J18" s="68">
        <f>VLOOKUP($B18,Ingredients!$A:$W,10,FALSE)*$D18/100</f>
        <v>0</v>
      </c>
      <c r="K18" s="67">
        <f>VLOOKUP($B18,Ingredients!$A:$W,11,FALSE)*$D18/100</f>
        <v>0.12982255718400001</v>
      </c>
      <c r="L18" s="67">
        <f>VLOOKUP($B18,Ingredients!$A:$W,12,FALSE)*$D18/100</f>
        <v>0</v>
      </c>
      <c r="M18" s="67">
        <f>VLOOKUP($B18,Ingredients!$A:$W,13,FALSE)*$D18/100</f>
        <v>0</v>
      </c>
      <c r="N18" s="67">
        <f>VLOOKUP($B18,Ingredients!$A:$W,14,FALSE)*$D18/100</f>
        <v>3.7864912511999999E-2</v>
      </c>
      <c r="O18" s="67">
        <f>VLOOKUP($B18,Ingredients!$A:$W,15,FALSE)*$D18/100</f>
        <v>3.7864912511999999E-2</v>
      </c>
      <c r="P18" s="73">
        <f>VLOOKUP($B18,Ingredients!$A:$W,16,FALSE)*$D18/100</f>
        <v>0</v>
      </c>
      <c r="Q18" s="73">
        <f>VLOOKUP($B18,Ingredients!$A:$W,17,FALSE)*$D18/100</f>
        <v>0</v>
      </c>
      <c r="R18" s="73">
        <f>VLOOKUP($B18,Ingredients!$A:$W,18,FALSE)*$D18/100</f>
        <v>7.437750672E-2</v>
      </c>
      <c r="S18" s="73">
        <f>VLOOKUP($B18,Ingredients!$A:$W,19,FALSE)*$D18/100</f>
        <v>1.3523183039999999E-2</v>
      </c>
      <c r="T18" s="69">
        <f>VLOOKUP($B18,Ingredients!$A:$W,20,FALSE)*$D18/100</f>
        <v>0</v>
      </c>
      <c r="U18" s="68">
        <f>VLOOKUP($B18,Ingredients!$A:$W,21,FALSE)*$D18/100</f>
        <v>0</v>
      </c>
      <c r="V18" s="70">
        <f>VLOOKUP($B18,Ingredients!$A:$W,22,FALSE)*$D18/100</f>
        <v>0</v>
      </c>
      <c r="W18" s="67">
        <f>VLOOKUP($B18,Ingredients!$A:$W,23,FALSE)*$D18/100</f>
        <v>0</v>
      </c>
    </row>
    <row r="19" spans="1:23" x14ac:dyDescent="0.35">
      <c r="A19">
        <v>6</v>
      </c>
      <c r="B19" s="14" t="s">
        <v>30</v>
      </c>
      <c r="C19" s="122">
        <v>3.516E-3</v>
      </c>
      <c r="D19" s="17">
        <f t="shared" si="2"/>
        <v>2.0488435200000002E-2</v>
      </c>
      <c r="E19" s="36">
        <f>VLOOKUP($B19,Ingredients!$A:$W,5,FALSE)*$D19/100</f>
        <v>0.10136858199552</v>
      </c>
      <c r="F19" s="36">
        <f>VLOOKUP($B19,Ingredients!$A:$W,6,FALSE)*$D19/100</f>
        <v>3.9460726195200004E-2</v>
      </c>
      <c r="G19" s="67">
        <f>VLOOKUP($B19,Ingredients!$A:$W,7,FALSE)*$D19/100</f>
        <v>4.3845251328000004E-3</v>
      </c>
      <c r="H19" s="67">
        <f>VLOOKUP($B19,Ingredients!$A:$W,8,FALSE)*$D19/100</f>
        <v>7.765116940800002E-4</v>
      </c>
      <c r="I19" s="67">
        <f>VLOOKUP($B19,Ingredients!$A:$W,9,FALSE)*$D19/100</f>
        <v>0</v>
      </c>
      <c r="J19" s="68">
        <f>VLOOKUP($B19,Ingredients!$A:$W,10,FALSE)*$D19/100</f>
        <v>0</v>
      </c>
      <c r="K19" s="67">
        <f>VLOOKUP($B19,Ingredients!$A:$W,11,FALSE)*$D19/100</f>
        <v>1.5429840549120001E-2</v>
      </c>
      <c r="L19" s="67">
        <f>VLOOKUP($B19,Ingredients!$A:$W,12,FALSE)*$D19/100</f>
        <v>0</v>
      </c>
      <c r="M19" s="67">
        <f>VLOOKUP($B19,Ingredients!$A:$W,13,FALSE)*$D19/100</f>
        <v>0</v>
      </c>
      <c r="N19" s="67">
        <f>VLOOKUP($B19,Ingredients!$A:$W,14,FALSE)*$D19/100</f>
        <v>6.5665434816000005E-3</v>
      </c>
      <c r="O19" s="67">
        <f>VLOOKUP($B19,Ingredients!$A:$W,15,FALSE)*$D19/100</f>
        <v>6.5665434816000005E-3</v>
      </c>
      <c r="P19" s="73">
        <f>VLOOKUP($B19,Ingredients!$A:$W,16,FALSE)*$D19/100</f>
        <v>0</v>
      </c>
      <c r="Q19" s="73">
        <f>VLOOKUP($B19,Ingredients!$A:$W,17,FALSE)*$D19/100</f>
        <v>5.6343196800000012E-4</v>
      </c>
      <c r="R19" s="73">
        <f>VLOOKUP($B19,Ingredients!$A:$W,18,FALSE)*$D19/100</f>
        <v>3.6879183359999998E-5</v>
      </c>
      <c r="S19" s="73">
        <f>VLOOKUP($B19,Ingredients!$A:$W,19,FALSE)*$D19/100</f>
        <v>0</v>
      </c>
      <c r="T19" s="69">
        <f>VLOOKUP($B19,Ingredients!$A:$W,20,FALSE)*$D19/100</f>
        <v>0.38088820574207999</v>
      </c>
      <c r="U19" s="68">
        <f>VLOOKUP($B19,Ingredients!$A:$W,21,FALSE)*$D19/100</f>
        <v>1.2702829824E-4</v>
      </c>
      <c r="V19" s="70">
        <f>VLOOKUP($B19,Ingredients!$A:$W,22,FALSE)*$D19/100</f>
        <v>0</v>
      </c>
      <c r="W19" s="67">
        <f>VLOOKUP($B19,Ingredients!$A:$W,23,FALSE)*$D19/100</f>
        <v>0</v>
      </c>
    </row>
    <row r="20" spans="1:23" x14ac:dyDescent="0.35">
      <c r="A20">
        <v>7</v>
      </c>
      <c r="B20" s="14" t="s">
        <v>32</v>
      </c>
      <c r="C20" s="122">
        <v>1.3190000000000001E-3</v>
      </c>
      <c r="D20" s="17">
        <f t="shared" si="2"/>
        <v>7.6860768000000012E-3</v>
      </c>
      <c r="E20" s="36">
        <f>VLOOKUP($B20,Ingredients!$A:$W,5,FALSE)*$D20/100</f>
        <v>2.4647711082240002E-2</v>
      </c>
      <c r="F20" s="36">
        <f>VLOOKUP($B20,Ingredients!$A:$W,6,FALSE)*$D20/100</f>
        <v>2.7669876480000004E-5</v>
      </c>
      <c r="G20" s="67">
        <f>VLOOKUP($B20,Ingredients!$A:$W,7,FALSE)*$D20/100</f>
        <v>3.0744307200000006E-6</v>
      </c>
      <c r="H20" s="67">
        <f>VLOOKUP($B20,Ingredients!$A:$W,8,FALSE)*$D20/100</f>
        <v>1.5372153600000003E-6</v>
      </c>
      <c r="I20" s="67">
        <f>VLOOKUP($B20,Ingredients!$A:$W,9,FALSE)*$D20/100</f>
        <v>0</v>
      </c>
      <c r="J20" s="68">
        <f>VLOOKUP($B20,Ingredients!$A:$W,10,FALSE)*$D20/100</f>
        <v>0</v>
      </c>
      <c r="K20" s="67">
        <f>VLOOKUP($B20,Ingredients!$A:$W,11,FALSE)*$D20/100</f>
        <v>6.146555616960001E-3</v>
      </c>
      <c r="L20" s="67">
        <f>VLOOKUP($B20,Ingredients!$A:$W,12,FALSE)*$D20/100</f>
        <v>0</v>
      </c>
      <c r="M20" s="67">
        <f>VLOOKUP($B20,Ingredients!$A:$W,13,FALSE)*$D20/100</f>
        <v>0</v>
      </c>
      <c r="N20" s="67">
        <f>VLOOKUP($B20,Ingredients!$A:$W,14,FALSE)*$D20/100</f>
        <v>1.3104760944000003E-3</v>
      </c>
      <c r="O20" s="67">
        <f>VLOOKUP($B20,Ingredients!$A:$W,15,FALSE)*$D20/100</f>
        <v>1.3104760944000003E-3</v>
      </c>
      <c r="P20" s="73">
        <f>VLOOKUP($B20,Ingredients!$A:$W,16,FALSE)*$D20/100</f>
        <v>6.9174691200000009E-6</v>
      </c>
      <c r="Q20" s="73">
        <f>VLOOKUP($B20,Ingredients!$A:$W,17,FALSE)*$D20/100</f>
        <v>2.2404913872000002E-3</v>
      </c>
      <c r="R20" s="73">
        <f>VLOOKUP($B20,Ingredients!$A:$W,18,FALSE)*$D20/100</f>
        <v>6.1434811862400018E-3</v>
      </c>
      <c r="S20" s="73">
        <f>VLOOKUP($B20,Ingredients!$A:$W,19,FALSE)*$D20/100</f>
        <v>6.1796057472000008E-4</v>
      </c>
      <c r="T20" s="69">
        <f>VLOOKUP($B20,Ingredients!$A:$W,20,FALSE)*$D20/100</f>
        <v>0</v>
      </c>
      <c r="U20" s="68">
        <f>VLOOKUP($B20,Ingredients!$A:$W,21,FALSE)*$D20/100</f>
        <v>0</v>
      </c>
      <c r="V20" s="70">
        <f>VLOOKUP($B20,Ingredients!$A:$W,22,FALSE)*$D20/100</f>
        <v>0</v>
      </c>
      <c r="W20" s="67">
        <f>VLOOKUP($B20,Ingredients!$A:$W,23,FALSE)*$D20/100</f>
        <v>0</v>
      </c>
    </row>
    <row r="21" spans="1:23" x14ac:dyDescent="0.35">
      <c r="A21">
        <v>8</v>
      </c>
      <c r="B21" s="14"/>
      <c r="C21" s="35"/>
      <c r="D21" s="17"/>
      <c r="E21" s="36"/>
      <c r="F21" s="36"/>
      <c r="G21" s="67"/>
      <c r="H21" s="67"/>
      <c r="I21" s="67"/>
      <c r="J21" s="68"/>
      <c r="K21" s="67"/>
      <c r="L21" s="67"/>
      <c r="M21" s="67"/>
      <c r="N21" s="67"/>
      <c r="O21" s="67"/>
      <c r="P21" s="73"/>
      <c r="Q21" s="73"/>
      <c r="R21" s="73"/>
      <c r="S21" s="73"/>
      <c r="T21" s="69"/>
      <c r="U21" s="68"/>
      <c r="V21" s="70"/>
      <c r="W21" s="67"/>
    </row>
    <row r="22" spans="1:23" x14ac:dyDescent="0.35">
      <c r="A22">
        <v>9</v>
      </c>
      <c r="B22" s="14"/>
      <c r="C22" s="35"/>
      <c r="D22" s="17"/>
      <c r="E22" s="36"/>
      <c r="F22" s="36"/>
      <c r="G22" s="67"/>
      <c r="H22" s="67"/>
      <c r="I22" s="67"/>
      <c r="J22" s="68"/>
      <c r="K22" s="67"/>
      <c r="L22" s="67"/>
      <c r="M22" s="67"/>
      <c r="N22" s="67"/>
      <c r="O22" s="67"/>
      <c r="P22" s="73"/>
      <c r="Q22" s="73"/>
      <c r="R22" s="73"/>
      <c r="S22" s="73"/>
      <c r="T22" s="69"/>
      <c r="U22" s="68"/>
      <c r="V22" s="70"/>
      <c r="W22" s="67"/>
    </row>
    <row r="23" spans="1:23" x14ac:dyDescent="0.35">
      <c r="A23">
        <v>10</v>
      </c>
      <c r="B23" s="14"/>
      <c r="C23" s="13"/>
      <c r="D23" s="17"/>
      <c r="E23" s="36"/>
      <c r="F23" s="36"/>
      <c r="G23" s="67"/>
      <c r="H23" s="67"/>
      <c r="I23" s="67"/>
      <c r="J23" s="68"/>
      <c r="K23" s="67"/>
      <c r="L23" s="67"/>
      <c r="M23" s="67"/>
      <c r="N23" s="67"/>
      <c r="O23" s="67"/>
      <c r="P23" s="73"/>
      <c r="Q23" s="73"/>
      <c r="R23" s="73"/>
      <c r="S23" s="73"/>
      <c r="T23" s="69"/>
      <c r="U23" s="68"/>
      <c r="V23" s="70"/>
      <c r="W23" s="67"/>
    </row>
    <row r="24" spans="1:23" x14ac:dyDescent="0.35">
      <c r="A24">
        <v>11</v>
      </c>
      <c r="B24" s="14"/>
      <c r="C24" s="13"/>
      <c r="D24" s="17"/>
      <c r="E24" s="36"/>
      <c r="F24" s="36"/>
      <c r="G24" s="67"/>
      <c r="H24" s="67"/>
      <c r="I24" s="67"/>
      <c r="J24" s="68"/>
      <c r="K24" s="67"/>
      <c r="L24" s="67"/>
      <c r="M24" s="67"/>
      <c r="N24" s="67"/>
      <c r="O24" s="67"/>
      <c r="P24" s="73"/>
      <c r="Q24" s="73"/>
      <c r="R24" s="73"/>
      <c r="S24" s="73"/>
      <c r="T24" s="69"/>
      <c r="U24" s="68"/>
      <c r="V24" s="70"/>
      <c r="W24" s="67"/>
    </row>
    <row r="25" spans="1:23" x14ac:dyDescent="0.35">
      <c r="A25">
        <v>12</v>
      </c>
      <c r="B25" s="14"/>
      <c r="C25" s="13"/>
      <c r="D25" s="17"/>
      <c r="E25" s="36"/>
      <c r="F25" s="36"/>
      <c r="G25" s="67"/>
      <c r="H25" s="67"/>
      <c r="I25" s="67"/>
      <c r="J25" s="68"/>
      <c r="K25" s="67"/>
      <c r="L25" s="67"/>
      <c r="M25" s="67"/>
      <c r="N25" s="67"/>
      <c r="O25" s="67"/>
      <c r="P25" s="73"/>
      <c r="Q25" s="73"/>
      <c r="R25" s="73"/>
      <c r="S25" s="73"/>
      <c r="T25" s="69"/>
      <c r="U25" s="68"/>
      <c r="V25" s="70"/>
      <c r="W25" s="67"/>
    </row>
    <row r="26" spans="1:23" x14ac:dyDescent="0.35">
      <c r="A26">
        <v>13</v>
      </c>
      <c r="B26" s="14"/>
      <c r="C26" s="13"/>
      <c r="D26" s="17"/>
      <c r="E26" s="36"/>
      <c r="F26" s="36"/>
      <c r="G26" s="67"/>
      <c r="H26" s="67"/>
      <c r="I26" s="67"/>
      <c r="J26" s="68"/>
      <c r="K26" s="67"/>
      <c r="L26" s="67"/>
      <c r="M26" s="67"/>
      <c r="N26" s="67"/>
      <c r="O26" s="67"/>
      <c r="P26" s="73"/>
      <c r="Q26" s="73"/>
      <c r="R26" s="73"/>
      <c r="S26" s="73"/>
      <c r="T26" s="69"/>
      <c r="U26" s="68"/>
      <c r="V26" s="70"/>
      <c r="W26" s="67"/>
    </row>
    <row r="27" spans="1:23" x14ac:dyDescent="0.35">
      <c r="A27">
        <v>14</v>
      </c>
      <c r="B27" s="14"/>
      <c r="C27" s="13"/>
      <c r="D27" s="17"/>
      <c r="E27" s="36"/>
      <c r="F27" s="36"/>
      <c r="G27" s="67"/>
      <c r="H27" s="67"/>
      <c r="I27" s="67"/>
      <c r="J27" s="68"/>
      <c r="K27" s="67"/>
      <c r="L27" s="67"/>
      <c r="M27" s="67"/>
      <c r="N27" s="67"/>
      <c r="O27" s="67"/>
      <c r="P27" s="73"/>
      <c r="Q27" s="73"/>
      <c r="R27" s="73"/>
      <c r="S27" s="73"/>
      <c r="T27" s="69"/>
      <c r="U27" s="68"/>
      <c r="V27" s="70"/>
      <c r="W27" s="67"/>
    </row>
    <row r="28" spans="1:23" x14ac:dyDescent="0.35">
      <c r="A28">
        <v>15</v>
      </c>
      <c r="B28" s="14"/>
      <c r="C28" s="13"/>
      <c r="D28" s="17"/>
      <c r="E28" s="36"/>
      <c r="F28" s="36"/>
      <c r="G28" s="67"/>
      <c r="H28" s="67"/>
      <c r="I28" s="67"/>
      <c r="J28" s="68"/>
      <c r="K28" s="67"/>
      <c r="L28" s="67"/>
      <c r="M28" s="67"/>
      <c r="N28" s="67"/>
      <c r="O28" s="67"/>
      <c r="P28" s="73"/>
      <c r="Q28" s="73"/>
      <c r="R28" s="73"/>
      <c r="S28" s="73"/>
      <c r="T28" s="69"/>
      <c r="U28" s="68"/>
      <c r="V28" s="70"/>
      <c r="W28" s="67"/>
    </row>
    <row r="29" spans="1:23" x14ac:dyDescent="0.35">
      <c r="A29">
        <v>16</v>
      </c>
      <c r="B29" s="14"/>
      <c r="C29" s="13"/>
      <c r="D29" s="17"/>
      <c r="E29" s="15"/>
      <c r="F29" s="15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</row>
    <row r="30" spans="1:23" x14ac:dyDescent="0.35">
      <c r="A30">
        <v>17</v>
      </c>
      <c r="B30" s="14"/>
      <c r="C30" s="13"/>
      <c r="D30" s="17"/>
      <c r="E30" s="15"/>
      <c r="F30" s="15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</row>
    <row r="31" spans="1:23" x14ac:dyDescent="0.35">
      <c r="A31">
        <v>18</v>
      </c>
      <c r="B31" s="14"/>
      <c r="C31" s="13"/>
      <c r="D31" s="17"/>
      <c r="E31" s="15"/>
      <c r="F31" s="15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</row>
    <row r="32" spans="1:23" x14ac:dyDescent="0.35">
      <c r="A32">
        <v>19</v>
      </c>
      <c r="B32" s="14"/>
      <c r="C32" s="13"/>
      <c r="D32" s="17"/>
      <c r="E32" s="15"/>
      <c r="F32" s="15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</row>
    <row r="33" spans="1:23" x14ac:dyDescent="0.35">
      <c r="A33">
        <v>20</v>
      </c>
      <c r="B33" s="14"/>
      <c r="C33" s="13"/>
      <c r="D33" s="17"/>
      <c r="E33" s="15"/>
      <c r="F33" s="15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</row>
    <row r="34" spans="1:23" x14ac:dyDescent="0.35">
      <c r="A34">
        <v>21</v>
      </c>
      <c r="B34" s="14"/>
      <c r="C34" s="13"/>
      <c r="D34" s="17"/>
      <c r="E34" s="15"/>
      <c r="F34" s="15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</row>
  </sheetData>
  <mergeCells count="1">
    <mergeCell ref="E9:W9"/>
  </mergeCells>
  <pageMargins left="0.7" right="0.7" top="0.75" bottom="0.75" header="0.3" footer="0.3"/>
  <pageSetup orientation="portrait" r:id="rId1"/>
  <headerFooter>
    <oddHeader>&amp;R&amp;"Calibri"&amp;10&amp;K000000Highly Restricted&amp;1#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F669235-01C5-4DF1-9531-7CB21368A233}">
          <x14:formula1>
            <xm:f>Ingredients!$A$3:$A$1048576</xm:f>
          </x14:formula1>
          <xm:sqref>B14:B34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01A6B-BAD8-4355-AA00-9E4A5F0AFA42}">
  <dimension ref="A1:K71"/>
  <sheetViews>
    <sheetView zoomScale="80" zoomScaleNormal="80" workbookViewId="0">
      <selection activeCell="A9" sqref="A9:A14"/>
    </sheetView>
  </sheetViews>
  <sheetFormatPr defaultColWidth="9.1796875" defaultRowHeight="14.5" x14ac:dyDescent="0.35"/>
  <cols>
    <col min="1" max="1" width="17.453125" bestFit="1" customWidth="1"/>
    <col min="2" max="2" width="9.453125" customWidth="1"/>
    <col min="3" max="3" width="30.54296875" bestFit="1" customWidth="1"/>
    <col min="4" max="4" width="33" customWidth="1"/>
    <col min="5" max="5" width="31.54296875" bestFit="1" customWidth="1"/>
    <col min="6" max="6" width="26.453125" customWidth="1"/>
    <col min="7" max="7" width="27.1796875" customWidth="1"/>
    <col min="8" max="8" width="23.54296875" customWidth="1"/>
    <col min="9" max="9" width="6.81640625" bestFit="1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.81640625" bestFit="1" customWidth="1"/>
    <col min="14" max="14" width="8.1796875" bestFit="1" customWidth="1"/>
    <col min="15" max="15" width="9.453125" bestFit="1" customWidth="1"/>
    <col min="16" max="16" width="8.1796875" bestFit="1" customWidth="1"/>
    <col min="17" max="17" width="7.54296875" bestFit="1" customWidth="1"/>
  </cols>
  <sheetData>
    <row r="1" spans="1:9" x14ac:dyDescent="0.35">
      <c r="A1" s="13" t="s">
        <v>36</v>
      </c>
      <c r="C1" s="42" t="s">
        <v>135</v>
      </c>
    </row>
    <row r="2" spans="1:9" x14ac:dyDescent="0.35">
      <c r="A2" t="s">
        <v>94</v>
      </c>
      <c r="B2" s="13" t="s">
        <v>134</v>
      </c>
      <c r="D2" t="str">
        <f>A2&amp;" "&amp; B2</f>
        <v>Formulation STONF</v>
      </c>
      <c r="G2" cm="1">
        <f t="array" aca="1" ref="G2" ca="1">INDIRECT("'"&amp;D2&amp;"'!C7")</f>
        <v>5.8272000000000004</v>
      </c>
      <c r="H2" t="s">
        <v>46</v>
      </c>
      <c r="I2" t="s">
        <v>99</v>
      </c>
    </row>
    <row r="3" spans="1:9" x14ac:dyDescent="0.35">
      <c r="A3" t="str">
        <f>'Formulation STOF2'!B6</f>
        <v>Smooth Texture Sugar Free Orange Natural Dyes</v>
      </c>
      <c r="D3" t="s">
        <v>44</v>
      </c>
      <c r="E3" t="s">
        <v>45</v>
      </c>
      <c r="G3" s="27" cm="1">
        <f t="array" aca="1" ref="G3" ca="1">INDIRECT("'"&amp;D2&amp;"'!D6")</f>
        <v>11.654400000000001</v>
      </c>
      <c r="H3" t="s">
        <v>46</v>
      </c>
      <c r="I3" t="s">
        <v>100</v>
      </c>
    </row>
    <row r="5" spans="1:9" ht="15.5" x14ac:dyDescent="0.35">
      <c r="A5" s="151" t="s">
        <v>104</v>
      </c>
      <c r="B5" t="s">
        <v>101</v>
      </c>
      <c r="C5" s="18">
        <f ca="1">(4*F24)+(4*C10)+(9*C31)</f>
        <v>21.580659792429699</v>
      </c>
      <c r="D5" s="50" t="s">
        <v>95</v>
      </c>
      <c r="E5" s="74" t="s">
        <v>96</v>
      </c>
      <c r="F5" s="74" t="s">
        <v>98</v>
      </c>
    </row>
    <row r="6" spans="1:9" ht="15.5" x14ac:dyDescent="0.35">
      <c r="A6" s="151"/>
      <c r="B6" t="s">
        <v>102</v>
      </c>
      <c r="C6" s="18">
        <f ca="1">(4*F24)+(9*C31)+(4*(C10-D10))+(2*D10)</f>
        <v>16.112244738631297</v>
      </c>
      <c r="D6" s="50" t="s">
        <v>95</v>
      </c>
      <c r="E6" s="74" t="s">
        <v>97</v>
      </c>
      <c r="F6" s="74" t="s">
        <v>115</v>
      </c>
    </row>
    <row r="7" spans="1:9" ht="15.5" x14ac:dyDescent="0.35">
      <c r="A7" s="151"/>
      <c r="B7" t="s">
        <v>103</v>
      </c>
      <c r="C7" s="18">
        <f ca="1">(4*F24)+(9*C31)+(4*(C10-D10))+(2*E10)</f>
        <v>15.244345929376898</v>
      </c>
      <c r="D7" s="50" t="s">
        <v>95</v>
      </c>
      <c r="E7" s="74" t="s">
        <v>97</v>
      </c>
      <c r="F7" s="74" t="s">
        <v>116</v>
      </c>
    </row>
    <row r="8" spans="1:9" s="51" customFormat="1" ht="7" customHeight="1" x14ac:dyDescent="0.35">
      <c r="C8" s="52"/>
      <c r="D8" s="53"/>
      <c r="E8" s="53"/>
    </row>
    <row r="9" spans="1:9" ht="30" customHeight="1" x14ac:dyDescent="0.35">
      <c r="A9" s="150" t="s">
        <v>49</v>
      </c>
      <c r="B9" s="18"/>
      <c r="C9" s="49" t="str" cm="1">
        <f t="array" aca="1" ref="C9" ca="1">INDIRECT("'"&amp;D2&amp;"'!K13")</f>
        <v>Total carbohydrate</v>
      </c>
      <c r="D9" s="49" t="str" cm="1">
        <f t="array" aca="1" ref="D9" ca="1">INDIRECT("'"&amp;D2&amp;"'!L13")</f>
        <v>Total dietary fiber</v>
      </c>
      <c r="E9" s="49" t="str" cm="1">
        <f t="array" aca="1" ref="E9" ca="1">INDIRECT("'"&amp;D2&amp;"'!M13")</f>
        <v>Soluble fiber</v>
      </c>
    </row>
    <row r="10" spans="1:9" x14ac:dyDescent="0.35">
      <c r="A10" s="150"/>
      <c r="B10" s="18" t="s">
        <v>50</v>
      </c>
      <c r="C10" s="21" cm="1">
        <f t="array" aca="1" ref="C10" ca="1">INDIRECT("'"&amp;D2&amp;"'!K8")</f>
        <v>5.2370083490092805</v>
      </c>
      <c r="D10" s="21" cm="1">
        <f t="array" aca="1" ref="D10" ca="1">INDIRECT("'"&amp;D2&amp;"'!L8")</f>
        <v>2.7342075268991999</v>
      </c>
      <c r="E10" s="21" cm="1">
        <f t="array" aca="1" ref="E10" ca="1">INDIRECT("'"&amp;D2&amp;"'!M8")</f>
        <v>2.300258122272</v>
      </c>
    </row>
    <row r="11" spans="1:9" x14ac:dyDescent="0.35">
      <c r="A11" s="150"/>
      <c r="B11" s="18" t="s">
        <v>51</v>
      </c>
      <c r="C11" s="21">
        <v>275</v>
      </c>
      <c r="D11" s="21">
        <v>28</v>
      </c>
      <c r="E11" s="21" t="s">
        <v>52</v>
      </c>
    </row>
    <row r="12" spans="1:9" x14ac:dyDescent="0.35">
      <c r="A12" s="150"/>
      <c r="B12" s="18" t="s">
        <v>53</v>
      </c>
      <c r="C12" s="26">
        <f ca="1">C10/C11</f>
        <v>1.9043666723670111E-2</v>
      </c>
      <c r="D12" s="26">
        <f ca="1">D10/D11</f>
        <v>9.7650268817828567E-2</v>
      </c>
      <c r="E12" s="26" t="s">
        <v>52</v>
      </c>
    </row>
    <row r="13" spans="1:9" ht="127" customHeight="1" x14ac:dyDescent="0.35">
      <c r="A13" s="150"/>
      <c r="B13" s="18"/>
      <c r="C13" s="1" t="s">
        <v>54</v>
      </c>
      <c r="D13" s="1" t="s">
        <v>54</v>
      </c>
      <c r="E13" s="2" t="s">
        <v>55</v>
      </c>
    </row>
    <row r="14" spans="1:9" x14ac:dyDescent="0.35">
      <c r="A14" s="150"/>
      <c r="B14" s="18" t="s">
        <v>56</v>
      </c>
      <c r="C14" s="31" t="s">
        <v>57</v>
      </c>
      <c r="D14" s="31" t="s">
        <v>58</v>
      </c>
      <c r="E14" s="31" t="s">
        <v>59</v>
      </c>
    </row>
    <row r="16" spans="1:9" x14ac:dyDescent="0.35">
      <c r="A16" s="150" t="s">
        <v>49</v>
      </c>
      <c r="B16" s="18"/>
      <c r="C16" s="123" t="s">
        <v>206</v>
      </c>
      <c r="D16" s="123" t="s">
        <v>207</v>
      </c>
      <c r="E16" s="123" t="s">
        <v>208</v>
      </c>
    </row>
    <row r="17" spans="1:6" x14ac:dyDescent="0.35">
      <c r="A17" s="150"/>
      <c r="B17" s="18" t="s">
        <v>50</v>
      </c>
      <c r="C17" s="22" cm="1">
        <f t="array" aca="1" ref="C17" ca="1">INDIRECT("'"&amp;D2&amp;"'!P8")</f>
        <v>0.26450765695392003</v>
      </c>
      <c r="D17" s="22" cm="1">
        <f t="array" aca="1" ref="D17" ca="1">INDIRECT("'"&amp;D2&amp;"'!Q8")</f>
        <v>27.641746811217605</v>
      </c>
      <c r="E17" s="22" cm="1">
        <f t="array" aca="1" ref="E17" ca="1">INDIRECT("'"&amp;D2&amp;"'!S8")</f>
        <v>5.9167702000416016</v>
      </c>
    </row>
    <row r="18" spans="1:6" x14ac:dyDescent="0.35">
      <c r="A18" s="150"/>
      <c r="B18" s="18" t="s">
        <v>51</v>
      </c>
      <c r="C18" s="22">
        <v>18</v>
      </c>
      <c r="D18" s="22">
        <v>4700</v>
      </c>
      <c r="E18" s="22">
        <v>1300</v>
      </c>
    </row>
    <row r="19" spans="1:6" x14ac:dyDescent="0.35">
      <c r="A19" s="150"/>
      <c r="B19" s="18" t="s">
        <v>53</v>
      </c>
      <c r="C19" s="26">
        <f ca="1">C17/C18</f>
        <v>1.4694869830773335E-2</v>
      </c>
      <c r="D19" s="26">
        <f t="shared" ref="D19:E19" ca="1" si="0">D17/D18</f>
        <v>5.8812227257909796E-3</v>
      </c>
      <c r="E19" s="26">
        <f t="shared" ca="1" si="0"/>
        <v>4.5513616923396937E-3</v>
      </c>
    </row>
    <row r="20" spans="1:6" ht="43.5" x14ac:dyDescent="0.35">
      <c r="A20" s="150"/>
      <c r="B20" s="18"/>
      <c r="C20" s="124" t="s">
        <v>209</v>
      </c>
      <c r="D20" s="124" t="s">
        <v>210</v>
      </c>
      <c r="E20" s="124" t="s">
        <v>210</v>
      </c>
    </row>
    <row r="21" spans="1:6" x14ac:dyDescent="0.35">
      <c r="A21" s="150"/>
      <c r="B21" s="18" t="s">
        <v>56</v>
      </c>
      <c r="C21" s="31" t="s">
        <v>140</v>
      </c>
      <c r="D21" s="31" t="s">
        <v>60</v>
      </c>
      <c r="E21" s="31">
        <v>0</v>
      </c>
    </row>
    <row r="23" spans="1:6" x14ac:dyDescent="0.35">
      <c r="A23" s="150" t="s">
        <v>49</v>
      </c>
      <c r="B23" s="18"/>
      <c r="C23" s="18" t="s">
        <v>215</v>
      </c>
      <c r="D23" s="18" t="s">
        <v>216</v>
      </c>
      <c r="E23" s="123" t="s">
        <v>217</v>
      </c>
      <c r="F23" s="18" t="s">
        <v>22</v>
      </c>
    </row>
    <row r="24" spans="1:6" x14ac:dyDescent="0.35">
      <c r="A24" s="150"/>
      <c r="B24" s="18" t="s">
        <v>50</v>
      </c>
      <c r="C24" s="23" cm="1">
        <f t="array" aca="1" ref="C24" ca="1">INDIRECT("'"&amp;D2&amp;"'!T8")</f>
        <v>0.38088820574207999</v>
      </c>
      <c r="D24" s="24" cm="1">
        <f t="array" aca="1" ref="D24" ca="1">INDIRECT("'"&amp;D2&amp;"'!U8")</f>
        <v>1.2702829824E-4</v>
      </c>
      <c r="E24" s="24" cm="1">
        <f t="array" aca="1" ref="E24" ca="1">INDIRECT("'"&amp;D2&amp;"'!V8")</f>
        <v>0</v>
      </c>
      <c r="F24" s="21" cm="1">
        <f t="array" aca="1" ref="F24" ca="1">INDIRECT("'"&amp;D2&amp;"'!W8")</f>
        <v>7.4137881883584E-2</v>
      </c>
    </row>
    <row r="25" spans="1:6" x14ac:dyDescent="0.35">
      <c r="A25" s="150"/>
      <c r="B25" s="18" t="s">
        <v>51</v>
      </c>
      <c r="C25" s="126" t="s">
        <v>218</v>
      </c>
      <c r="D25" s="126">
        <v>90</v>
      </c>
      <c r="E25" s="126" t="s">
        <v>219</v>
      </c>
      <c r="F25" s="126" t="s">
        <v>52</v>
      </c>
    </row>
    <row r="26" spans="1:6" x14ac:dyDescent="0.35">
      <c r="A26" s="150"/>
      <c r="B26" s="18" t="s">
        <v>53</v>
      </c>
      <c r="C26" s="26" t="s">
        <v>52</v>
      </c>
      <c r="D26" s="26" t="s">
        <v>52</v>
      </c>
      <c r="E26" s="26">
        <f ca="1">E24/20</f>
        <v>0</v>
      </c>
      <c r="F26" s="26" t="s">
        <v>52</v>
      </c>
    </row>
    <row r="27" spans="1:6" ht="78.5" x14ac:dyDescent="0.35">
      <c r="A27" s="150"/>
      <c r="B27" s="18"/>
      <c r="C27" s="128" t="s">
        <v>229</v>
      </c>
      <c r="D27" s="128" t="s">
        <v>230</v>
      </c>
      <c r="E27" s="128" t="s">
        <v>231</v>
      </c>
      <c r="F27" s="129" t="s">
        <v>214</v>
      </c>
    </row>
    <row r="28" spans="1:6" x14ac:dyDescent="0.35">
      <c r="A28" s="150"/>
      <c r="B28" s="18" t="s">
        <v>56</v>
      </c>
      <c r="C28" s="31" t="s">
        <v>62</v>
      </c>
      <c r="D28" s="31" t="s">
        <v>62</v>
      </c>
      <c r="E28" s="31">
        <v>0</v>
      </c>
      <c r="F28" s="31" t="s">
        <v>63</v>
      </c>
    </row>
    <row r="30" spans="1:6" x14ac:dyDescent="0.35">
      <c r="A30" s="149" t="s">
        <v>64</v>
      </c>
      <c r="B30" s="18"/>
      <c r="C30" s="19" t="s">
        <v>6</v>
      </c>
      <c r="D30" s="19" t="s">
        <v>7</v>
      </c>
      <c r="E30" s="19" t="s">
        <v>8</v>
      </c>
      <c r="F30" s="19" t="s">
        <v>9</v>
      </c>
    </row>
    <row r="31" spans="1:6" x14ac:dyDescent="0.35">
      <c r="A31" s="149"/>
      <c r="B31" s="18" t="s">
        <v>50</v>
      </c>
      <c r="C31" s="21" cm="1">
        <f t="array" aca="1" ref="C31" ca="1">INDIRECT("'"&amp;D2&amp;"'!G8")</f>
        <v>3.7341652095360008E-2</v>
      </c>
      <c r="D31" s="21" cm="1">
        <f t="array" aca="1" ref="D31" ca="1">INDIRECT("'"&amp;D2&amp;"'!H8")</f>
        <v>6.1942595235840014E-3</v>
      </c>
      <c r="E31" s="21" cm="1">
        <f t="array" aca="1" ref="E31" ca="1">INDIRECT("'"&amp;D2&amp;"'!I8")</f>
        <v>0</v>
      </c>
      <c r="F31" s="21" cm="1">
        <f t="array" aca="1" ref="F31" ca="1">INDIRECT("'"&amp;D2&amp;"'!J8")</f>
        <v>0</v>
      </c>
    </row>
    <row r="32" spans="1:6" x14ac:dyDescent="0.35">
      <c r="A32" s="149"/>
      <c r="B32" s="18" t="s">
        <v>51</v>
      </c>
      <c r="C32" s="126">
        <v>78</v>
      </c>
      <c r="D32" s="126">
        <v>20</v>
      </c>
      <c r="E32" s="126" t="s">
        <v>52</v>
      </c>
      <c r="F32" s="126" t="s">
        <v>222</v>
      </c>
    </row>
    <row r="33" spans="1:11" x14ac:dyDescent="0.35">
      <c r="A33" s="149"/>
      <c r="B33" s="18" t="s">
        <v>53</v>
      </c>
      <c r="C33" s="26" t="s">
        <v>52</v>
      </c>
      <c r="D33" s="26" t="s">
        <v>52</v>
      </c>
      <c r="E33" s="26" t="s">
        <v>52</v>
      </c>
      <c r="F33" s="26" t="s">
        <v>52</v>
      </c>
    </row>
    <row r="34" spans="1:11" ht="73.400000000000006" customHeight="1" x14ac:dyDescent="0.35">
      <c r="A34" s="149"/>
      <c r="B34" s="18"/>
      <c r="C34" s="125" t="s">
        <v>220</v>
      </c>
      <c r="D34" s="125" t="s">
        <v>220</v>
      </c>
      <c r="E34" s="125" t="s">
        <v>220</v>
      </c>
      <c r="F34" s="125" t="s">
        <v>221</v>
      </c>
    </row>
    <row r="35" spans="1:11" x14ac:dyDescent="0.35">
      <c r="A35" s="149"/>
      <c r="B35" s="18" t="s">
        <v>56</v>
      </c>
      <c r="C35" s="31" t="s">
        <v>62</v>
      </c>
      <c r="D35" s="31" t="s">
        <v>62</v>
      </c>
      <c r="E35" s="31" t="s">
        <v>62</v>
      </c>
      <c r="F35" s="31" t="s">
        <v>62</v>
      </c>
    </row>
    <row r="37" spans="1:11" ht="30" customHeight="1" x14ac:dyDescent="0.35">
      <c r="A37" s="149" t="s">
        <v>64</v>
      </c>
      <c r="B37" s="18"/>
      <c r="C37" s="20" t="str" cm="1">
        <f t="array" aca="1" ref="C37" ca="1">INDIRECT("'"&amp;D2&amp;"'!E13")</f>
        <v>Calories (US Rules)</v>
      </c>
      <c r="D37" s="19" t="s">
        <v>5</v>
      </c>
      <c r="E37" s="19" t="str" cm="1">
        <f t="array" aca="1" ref="E37" ca="1">INDIRECT("'"&amp;D2&amp;"'!N13")</f>
        <v xml:space="preserve">Sugar </v>
      </c>
      <c r="F37" s="19" t="str" cm="1">
        <f t="array" aca="1" ref="F37" ca="1">INDIRECT("'"&amp;D2&amp;"'!O13")</f>
        <v>Added Sugars</v>
      </c>
      <c r="G37" s="19" t="str" cm="1">
        <f t="array" aca="1" ref="G37" ca="1">INDIRECT("'"&amp;D2&amp;"'!R13")</f>
        <v>Sodium</v>
      </c>
    </row>
    <row r="38" spans="1:11" x14ac:dyDescent="0.35">
      <c r="A38" s="149"/>
      <c r="B38" s="18" t="s">
        <v>50</v>
      </c>
      <c r="C38" s="20">
        <f ca="1">C7</f>
        <v>15.244345929376898</v>
      </c>
      <c r="D38" s="20" cm="1">
        <f t="array" aca="1" ref="D38" ca="1">INDIRECT("'"&amp;D2&amp;"'!F8")</f>
        <v>0.18050563868812802</v>
      </c>
      <c r="E38" s="21" cm="1">
        <f t="array" aca="1" ref="E38" ca="1">INDIRECT("'"&amp;D2&amp;"'!N8")</f>
        <v>0.11418552529440001</v>
      </c>
      <c r="F38" s="21" cm="1">
        <f t="array" aca="1" ref="F38" ca="1">INDIRECT("'"&amp;D2&amp;"'!O8")</f>
        <v>4.5741932088000002E-2</v>
      </c>
      <c r="G38" s="22" cm="1">
        <f t="array" aca="1" ref="G38" ca="1">INDIRECT("'"&amp;D2&amp;"'!R8")</f>
        <v>5.1773642887344007</v>
      </c>
    </row>
    <row r="39" spans="1:11" x14ac:dyDescent="0.35">
      <c r="A39" s="149"/>
      <c r="B39" s="18"/>
      <c r="C39" s="126" t="s">
        <v>52</v>
      </c>
      <c r="D39" s="126" t="s">
        <v>52</v>
      </c>
      <c r="E39" s="126" t="s">
        <v>52</v>
      </c>
      <c r="F39" s="126">
        <v>50</v>
      </c>
      <c r="G39" s="126">
        <v>2300</v>
      </c>
    </row>
    <row r="40" spans="1:11" x14ac:dyDescent="0.35">
      <c r="A40" s="149"/>
      <c r="B40" s="18" t="s">
        <v>53</v>
      </c>
      <c r="C40" s="25" t="s">
        <v>52</v>
      </c>
      <c r="D40" s="25" t="s">
        <v>52</v>
      </c>
      <c r="E40" s="26" t="s">
        <v>52</v>
      </c>
      <c r="F40" s="26">
        <f t="shared" ref="F40:G40" ca="1" si="1">F38/F39</f>
        <v>9.1483864176000003E-4</v>
      </c>
      <c r="G40" s="26">
        <f t="shared" ca="1" si="1"/>
        <v>2.2510279516236523E-3</v>
      </c>
    </row>
    <row r="41" spans="1:11" ht="87" x14ac:dyDescent="0.35">
      <c r="A41" s="149"/>
      <c r="B41" s="18"/>
      <c r="C41" s="127" t="s">
        <v>65</v>
      </c>
      <c r="D41" s="127" t="s">
        <v>223</v>
      </c>
      <c r="E41" s="127" t="s">
        <v>214</v>
      </c>
      <c r="F41" s="127" t="s">
        <v>214</v>
      </c>
      <c r="G41" s="127" t="s">
        <v>224</v>
      </c>
      <c r="K41" s="32"/>
    </row>
    <row r="42" spans="1:11" x14ac:dyDescent="0.35">
      <c r="A42" s="149"/>
      <c r="B42" s="18" t="s">
        <v>56</v>
      </c>
      <c r="C42" s="31" t="s">
        <v>161</v>
      </c>
      <c r="D42" s="31" t="s">
        <v>62</v>
      </c>
      <c r="E42" s="30">
        <v>0</v>
      </c>
      <c r="F42" s="31">
        <v>0</v>
      </c>
      <c r="G42" s="31" t="s">
        <v>67</v>
      </c>
      <c r="K42" s="33"/>
    </row>
    <row r="43" spans="1:11" x14ac:dyDescent="0.35">
      <c r="A43" s="29"/>
      <c r="D43" s="28"/>
      <c r="K43" s="34"/>
    </row>
    <row r="44" spans="1:11" x14ac:dyDescent="0.35">
      <c r="D44" s="28"/>
      <c r="K44" s="34"/>
    </row>
    <row r="45" spans="1:11" x14ac:dyDescent="0.35">
      <c r="D45" s="28"/>
    </row>
    <row r="46" spans="1:11" x14ac:dyDescent="0.35">
      <c r="D46" s="28"/>
    </row>
    <row r="50" spans="1:6" x14ac:dyDescent="0.35">
      <c r="A50" s="42"/>
      <c r="B50" s="42"/>
    </row>
    <row r="51" spans="1:6" x14ac:dyDescent="0.35">
      <c r="A51" s="42"/>
      <c r="B51" s="42"/>
    </row>
    <row r="52" spans="1:6" x14ac:dyDescent="0.35">
      <c r="F52" s="114"/>
    </row>
    <row r="53" spans="1:6" x14ac:dyDescent="0.35">
      <c r="A53" s="9"/>
      <c r="F53" s="114"/>
    </row>
    <row r="54" spans="1:6" x14ac:dyDescent="0.35">
      <c r="A54" s="9"/>
      <c r="F54" s="114"/>
    </row>
    <row r="55" spans="1:6" x14ac:dyDescent="0.35">
      <c r="A55" s="71"/>
      <c r="F55" s="114"/>
    </row>
    <row r="56" spans="1:6" x14ac:dyDescent="0.35">
      <c r="A56" s="71"/>
      <c r="F56" s="114"/>
    </row>
    <row r="57" spans="1:6" x14ac:dyDescent="0.35">
      <c r="A57" s="71"/>
      <c r="F57" s="114"/>
    </row>
    <row r="58" spans="1:6" x14ac:dyDescent="0.35">
      <c r="A58" s="71"/>
      <c r="F58" s="114"/>
    </row>
    <row r="59" spans="1:6" x14ac:dyDescent="0.35">
      <c r="A59" s="71"/>
      <c r="F59" s="114"/>
    </row>
    <row r="60" spans="1:6" x14ac:dyDescent="0.35">
      <c r="A60" s="71"/>
      <c r="F60" s="114"/>
    </row>
    <row r="61" spans="1:6" x14ac:dyDescent="0.35">
      <c r="A61" s="71"/>
      <c r="F61" s="114"/>
    </row>
    <row r="62" spans="1:6" x14ac:dyDescent="0.35">
      <c r="A62" s="71"/>
      <c r="F62" s="115"/>
    </row>
    <row r="63" spans="1:6" x14ac:dyDescent="0.35">
      <c r="A63" s="71"/>
      <c r="F63" s="114"/>
    </row>
    <row r="64" spans="1:6" x14ac:dyDescent="0.35">
      <c r="A64" s="71"/>
      <c r="F64" s="114"/>
    </row>
    <row r="65" spans="1:6" x14ac:dyDescent="0.35">
      <c r="A65" s="71"/>
      <c r="F65" s="114"/>
    </row>
    <row r="66" spans="1:6" x14ac:dyDescent="0.35">
      <c r="A66" s="71"/>
      <c r="F66" s="114"/>
    </row>
    <row r="67" spans="1:6" x14ac:dyDescent="0.35">
      <c r="A67" s="71"/>
      <c r="F67" s="116"/>
    </row>
    <row r="68" spans="1:6" x14ac:dyDescent="0.35">
      <c r="A68" s="71"/>
      <c r="F68" s="114"/>
    </row>
    <row r="69" spans="1:6" x14ac:dyDescent="0.35">
      <c r="A69" s="71"/>
      <c r="F69" s="114"/>
    </row>
    <row r="70" spans="1:6" x14ac:dyDescent="0.35">
      <c r="A70" s="71"/>
      <c r="F70" s="114"/>
    </row>
    <row r="71" spans="1:6" x14ac:dyDescent="0.35">
      <c r="A71" s="71"/>
      <c r="F71" s="114"/>
    </row>
  </sheetData>
  <mergeCells count="6">
    <mergeCell ref="A37:A42"/>
    <mergeCell ref="A5:A7"/>
    <mergeCell ref="A9:A14"/>
    <mergeCell ref="A16:A21"/>
    <mergeCell ref="A23:A28"/>
    <mergeCell ref="A30:A35"/>
  </mergeCells>
  <pageMargins left="0.7" right="0.7" top="0.75" bottom="0.75" header="0.3" footer="0.3"/>
  <pageSetup orientation="portrait" r:id="rId1"/>
  <headerFooter>
    <oddHeader>&amp;R&amp;"Calibri"&amp;10&amp;K000000Highly Restricted&amp;1#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D87A3-9E37-4A9F-A4A7-01AA65E1F8BD}">
  <dimension ref="A1:W34"/>
  <sheetViews>
    <sheetView topLeftCell="A4" zoomScaleNormal="100" workbookViewId="0">
      <selection activeCell="D6" sqref="D6"/>
    </sheetView>
  </sheetViews>
  <sheetFormatPr defaultRowHeight="14.5" x14ac:dyDescent="0.35"/>
  <cols>
    <col min="1" max="1" width="3" bestFit="1" customWidth="1"/>
    <col min="2" max="2" width="20.1796875" bestFit="1" customWidth="1"/>
    <col min="3" max="3" width="13.1796875" bestFit="1" customWidth="1"/>
    <col min="4" max="4" width="16.453125" bestFit="1" customWidth="1"/>
    <col min="5" max="6" width="12.6328125" customWidth="1"/>
    <col min="7" max="23" width="12.6328125" style="66" customWidth="1"/>
  </cols>
  <sheetData>
    <row r="1" spans="1:23" s="44" customFormat="1" x14ac:dyDescent="0.35">
      <c r="B1" s="45" t="s">
        <v>88</v>
      </c>
      <c r="C1" s="46">
        <v>46078</v>
      </c>
      <c r="D1" s="47" t="s">
        <v>89</v>
      </c>
      <c r="E1" s="45" t="s">
        <v>90</v>
      </c>
      <c r="F1" s="47" t="s">
        <v>91</v>
      </c>
      <c r="G1" s="64" t="s">
        <v>92</v>
      </c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</row>
    <row r="2" spans="1:23" x14ac:dyDescent="0.35">
      <c r="B2" t="s">
        <v>35</v>
      </c>
    </row>
    <row r="3" spans="1:23" x14ac:dyDescent="0.35">
      <c r="B3" s="13" t="s">
        <v>36</v>
      </c>
    </row>
    <row r="4" spans="1:23" x14ac:dyDescent="0.35">
      <c r="B4" t="s">
        <v>37</v>
      </c>
      <c r="D4" s="37"/>
    </row>
    <row r="5" spans="1:23" x14ac:dyDescent="0.35">
      <c r="B5" t="s">
        <v>38</v>
      </c>
      <c r="C5" t="s">
        <v>3</v>
      </c>
      <c r="D5" s="13" t="s">
        <v>228</v>
      </c>
    </row>
    <row r="6" spans="1:23" ht="15" thickBot="1" x14ac:dyDescent="0.4">
      <c r="B6" s="13" t="s">
        <v>93</v>
      </c>
      <c r="C6" s="13">
        <v>5.8272000000000004</v>
      </c>
      <c r="D6">
        <f>C6*2</f>
        <v>11.654400000000001</v>
      </c>
    </row>
    <row r="7" spans="1:23" ht="15" thickBot="1" x14ac:dyDescent="0.4">
      <c r="B7" s="62" t="s">
        <v>114</v>
      </c>
      <c r="C7" s="63">
        <f>C6</f>
        <v>5.8272000000000004</v>
      </c>
      <c r="E7" t="s">
        <v>113</v>
      </c>
    </row>
    <row r="8" spans="1:23" ht="27" customHeight="1" x14ac:dyDescent="0.35">
      <c r="B8" s="10" t="s">
        <v>39</v>
      </c>
      <c r="C8" s="11">
        <f>SUM(C14:C34)</f>
        <v>0.99999999999999989</v>
      </c>
      <c r="D8" s="16">
        <f>SUM(D14:D21)</f>
        <v>5.8272000000000004</v>
      </c>
      <c r="E8" s="36">
        <f ca="1">'Nutrition STOF'!C7</f>
        <v>30.34974158512</v>
      </c>
      <c r="F8" s="36">
        <f t="shared" ref="F8:W8" si="0">SUM(F14:F34)</f>
        <v>0.18050563868812802</v>
      </c>
      <c r="G8" s="67">
        <f t="shared" si="0"/>
        <v>3.7341652095360008E-2</v>
      </c>
      <c r="H8" s="67">
        <f t="shared" si="0"/>
        <v>6.1942595235840014E-3</v>
      </c>
      <c r="I8" s="67">
        <f t="shared" si="0"/>
        <v>0</v>
      </c>
      <c r="J8" s="68">
        <f>SUM(J14:J34)</f>
        <v>0</v>
      </c>
      <c r="K8" s="67">
        <f t="shared" si="0"/>
        <v>5.2370083490092805</v>
      </c>
      <c r="L8" s="67">
        <f t="shared" si="0"/>
        <v>2.7342075268991999</v>
      </c>
      <c r="M8" s="67">
        <f t="shared" si="0"/>
        <v>2.300258122272</v>
      </c>
      <c r="N8" s="67">
        <f t="shared" si="0"/>
        <v>0.11418552529440001</v>
      </c>
      <c r="O8" s="67">
        <f t="shared" si="0"/>
        <v>4.5741932088000002E-2</v>
      </c>
      <c r="P8" s="73">
        <f t="shared" si="0"/>
        <v>0.26450765695392003</v>
      </c>
      <c r="Q8" s="73">
        <f t="shared" si="0"/>
        <v>27.641746811217605</v>
      </c>
      <c r="R8" s="73">
        <f t="shared" si="0"/>
        <v>5.1773642887344007</v>
      </c>
      <c r="S8" s="73">
        <f t="shared" si="0"/>
        <v>5.9167702000416016</v>
      </c>
      <c r="T8" s="69">
        <f t="shared" si="0"/>
        <v>0.38088820574207999</v>
      </c>
      <c r="U8" s="68">
        <f t="shared" si="0"/>
        <v>1.2702829824E-4</v>
      </c>
      <c r="V8" s="70">
        <f t="shared" si="0"/>
        <v>0</v>
      </c>
      <c r="W8" s="67">
        <f t="shared" si="0"/>
        <v>7.4137881883584E-2</v>
      </c>
    </row>
    <row r="9" spans="1:23" x14ac:dyDescent="0.35">
      <c r="E9" s="148" t="s">
        <v>40</v>
      </c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</row>
    <row r="10" spans="1:23" x14ac:dyDescent="0.35">
      <c r="B10" t="s">
        <v>112</v>
      </c>
      <c r="C10" s="37">
        <v>2</v>
      </c>
      <c r="D10" s="61">
        <f>C6*2</f>
        <v>11.654400000000001</v>
      </c>
      <c r="E10" s="36">
        <f ca="1">E8*$C$10</f>
        <v>60.699483170240001</v>
      </c>
      <c r="F10" s="36">
        <f t="shared" ref="F10:W10" si="1">F8*$C$10</f>
        <v>0.36101127737625605</v>
      </c>
      <c r="G10" s="67">
        <f t="shared" si="1"/>
        <v>7.4683304190720015E-2</v>
      </c>
      <c r="H10" s="67">
        <f t="shared" si="1"/>
        <v>1.2388519047168003E-2</v>
      </c>
      <c r="I10" s="67">
        <f t="shared" si="1"/>
        <v>0</v>
      </c>
      <c r="J10" s="68">
        <f t="shared" si="1"/>
        <v>0</v>
      </c>
      <c r="K10" s="67">
        <f t="shared" si="1"/>
        <v>10.474016698018561</v>
      </c>
      <c r="L10" s="67">
        <f t="shared" si="1"/>
        <v>5.4684150537983998</v>
      </c>
      <c r="M10" s="67">
        <f t="shared" si="1"/>
        <v>4.600516244544</v>
      </c>
      <c r="N10" s="67">
        <f t="shared" si="1"/>
        <v>0.22837105058880003</v>
      </c>
      <c r="O10" s="67">
        <f t="shared" si="1"/>
        <v>9.1483864176000004E-2</v>
      </c>
      <c r="P10" s="73">
        <f t="shared" si="1"/>
        <v>0.52901531390784007</v>
      </c>
      <c r="Q10" s="73">
        <f t="shared" si="1"/>
        <v>55.283493622435209</v>
      </c>
      <c r="R10" s="73">
        <f t="shared" si="1"/>
        <v>10.354728577468801</v>
      </c>
      <c r="S10" s="73">
        <f t="shared" si="1"/>
        <v>11.833540400083203</v>
      </c>
      <c r="T10" s="69">
        <f t="shared" si="1"/>
        <v>0.76177641148415998</v>
      </c>
      <c r="U10" s="68">
        <f t="shared" si="1"/>
        <v>2.5405659648E-4</v>
      </c>
      <c r="V10" s="70">
        <f t="shared" si="1"/>
        <v>0</v>
      </c>
      <c r="W10" s="67">
        <f t="shared" si="1"/>
        <v>0.148275763767168</v>
      </c>
    </row>
    <row r="11" spans="1:23" x14ac:dyDescent="0.35">
      <c r="D11" s="38"/>
    </row>
    <row r="12" spans="1:23" x14ac:dyDescent="0.35">
      <c r="C12" s="100">
        <f>SUM(C14:C34)</f>
        <v>0.99999999999999989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</row>
    <row r="13" spans="1:23" s="9" customFormat="1" ht="29" x14ac:dyDescent="0.35">
      <c r="B13" s="9" t="s">
        <v>0</v>
      </c>
      <c r="C13" s="9" t="s">
        <v>41</v>
      </c>
      <c r="D13" s="9" t="s">
        <v>42</v>
      </c>
      <c r="E13" s="9" t="s">
        <v>43</v>
      </c>
      <c r="F13" s="9" t="s">
        <v>5</v>
      </c>
      <c r="G13" s="71" t="s">
        <v>6</v>
      </c>
      <c r="H13" s="71" t="s">
        <v>7</v>
      </c>
      <c r="I13" s="71" t="s">
        <v>8</v>
      </c>
      <c r="J13" s="71" t="s">
        <v>9</v>
      </c>
      <c r="K13" s="71" t="s">
        <v>10</v>
      </c>
      <c r="L13" s="71" t="s">
        <v>11</v>
      </c>
      <c r="M13" s="71" t="s">
        <v>12</v>
      </c>
      <c r="N13" s="71" t="s">
        <v>13</v>
      </c>
      <c r="O13" s="71" t="s">
        <v>14</v>
      </c>
      <c r="P13" s="71" t="s">
        <v>15</v>
      </c>
      <c r="Q13" s="71" t="s">
        <v>16</v>
      </c>
      <c r="R13" s="71" t="s">
        <v>17</v>
      </c>
      <c r="S13" s="71" t="s">
        <v>18</v>
      </c>
      <c r="T13" s="71" t="s">
        <v>19</v>
      </c>
      <c r="U13" s="71" t="s">
        <v>20</v>
      </c>
      <c r="V13" s="71" t="s">
        <v>21</v>
      </c>
      <c r="W13" s="71" t="s">
        <v>22</v>
      </c>
    </row>
    <row r="14" spans="1:23" x14ac:dyDescent="0.35">
      <c r="A14">
        <v>1</v>
      </c>
      <c r="B14" s="14" t="s">
        <v>23</v>
      </c>
      <c r="C14" s="121">
        <v>0.55992200000000003</v>
      </c>
      <c r="D14" s="17">
        <f t="shared" ref="D14:D20" si="2">C14*$C$7</f>
        <v>3.2627774784000003</v>
      </c>
      <c r="E14" s="36">
        <f>VLOOKUP($B14,Ingredients!$A:$W,5,FALSE)*$D14/100</f>
        <v>11.772101142067202</v>
      </c>
      <c r="F14" s="36">
        <f>VLOOKUP($B14,Ingredients!$A:$W,6,FALSE)*$D14/100</f>
        <v>0.14101724261644802</v>
      </c>
      <c r="G14" s="67">
        <f>VLOOKUP($B14,Ingredients!$A:$W,7,FALSE)*$D14/100</f>
        <v>3.2954052531840007E-2</v>
      </c>
      <c r="H14" s="67">
        <f>VLOOKUP($B14,Ingredients!$A:$W,8,FALSE)*$D14/100</f>
        <v>5.4162106141440007E-3</v>
      </c>
      <c r="I14" s="67">
        <f>VLOOKUP($B14,Ingredients!$A:$W,9,FALSE)*$D14/100</f>
        <v>0</v>
      </c>
      <c r="J14" s="68">
        <f>VLOOKUP($B14,Ingredients!$A:$W,10,FALSE)*$D14/100</f>
        <v>0</v>
      </c>
      <c r="K14" s="67">
        <f>VLOOKUP($B14,Ingredients!$A:$W,11,FALSE)*$D14/100</f>
        <v>2.8386164062080002</v>
      </c>
      <c r="L14" s="67">
        <f>VLOOKUP($B14,Ingredients!$A:$W,12,FALSE)*$D14/100</f>
        <v>2.7342075268991999</v>
      </c>
      <c r="M14" s="67">
        <f>VLOOKUP($B14,Ingredients!$A:$W,13,FALSE)*$D14/100</f>
        <v>2.300258122272</v>
      </c>
      <c r="N14" s="67">
        <f>VLOOKUP($B14,Ingredients!$A:$W,14,FALSE)*$D14/100</f>
        <v>3.2627774784000007E-3</v>
      </c>
      <c r="O14" s="67">
        <f>VLOOKUP($B14,Ingredients!$A:$W,15,FALSE)*$D14/100</f>
        <v>0</v>
      </c>
      <c r="P14" s="73">
        <f>VLOOKUP($B14,Ingredients!$A:$W,16,FALSE)*$D14/100</f>
        <v>0.2544966433152</v>
      </c>
      <c r="Q14" s="73">
        <f>VLOOKUP($B14,Ingredients!$A:$W,17,FALSE)*$D14/100</f>
        <v>27.635725242048</v>
      </c>
      <c r="R14" s="73">
        <f>VLOOKUP($B14,Ingredients!$A:$W,18,FALSE)*$D14/100</f>
        <v>2.2953639560544001</v>
      </c>
      <c r="S14" s="73">
        <f>VLOOKUP($B14,Ingredients!$A:$W,19,FALSE)*$D14/100</f>
        <v>5.7154073089132806</v>
      </c>
      <c r="T14" s="69">
        <f>VLOOKUP($B14,Ingredients!$A:$W,20,FALSE)*$D14/100</f>
        <v>0</v>
      </c>
      <c r="U14" s="68">
        <f>VLOOKUP($B14,Ingredients!$A:$W,21,FALSE)*$D14/100</f>
        <v>0</v>
      </c>
      <c r="V14" s="70">
        <f>VLOOKUP($B14,Ingredients!$A:$W,22,FALSE)*$D14/100</f>
        <v>0</v>
      </c>
      <c r="W14" s="67">
        <f>VLOOKUP($B14,Ingredients!$A:$W,23,FALSE)*$D14/100</f>
        <v>6.8550954821184007E-2</v>
      </c>
    </row>
    <row r="15" spans="1:23" x14ac:dyDescent="0.35">
      <c r="A15">
        <v>2</v>
      </c>
      <c r="B15" s="14" t="s">
        <v>24</v>
      </c>
      <c r="C15" s="121">
        <v>0.31958900000000001</v>
      </c>
      <c r="D15" s="17">
        <f t="shared" si="2"/>
        <v>1.8623090208000002</v>
      </c>
      <c r="E15" s="36">
        <f>VLOOKUP($B15,Ingredients!$A:$W,5,FALSE)*$D15/100</f>
        <v>7.0395280986240003</v>
      </c>
      <c r="F15" s="36">
        <f>VLOOKUP($B15,Ingredients!$A:$W,6,FALSE)*$D15/100</f>
        <v>0</v>
      </c>
      <c r="G15" s="67">
        <f>VLOOKUP($B15,Ingredients!$A:$W,7,FALSE)*$D15/100</f>
        <v>0</v>
      </c>
      <c r="H15" s="67">
        <f>VLOOKUP($B15,Ingredients!$A:$W,8,FALSE)*$D15/100</f>
        <v>0</v>
      </c>
      <c r="I15" s="67">
        <f>VLOOKUP($B15,Ingredients!$A:$W,9,FALSE)*$D15/100</f>
        <v>0</v>
      </c>
      <c r="J15" s="68">
        <f>VLOOKUP($B15,Ingredients!$A:$W,10,FALSE)*$D15/100</f>
        <v>0</v>
      </c>
      <c r="K15" s="67">
        <f>VLOOKUP($B15,Ingredients!$A:$W,11,FALSE)*$D15/100</f>
        <v>1.7542950975936003</v>
      </c>
      <c r="L15" s="67">
        <f>VLOOKUP($B15,Ingredients!$A:$W,12,FALSE)*$D15/100</f>
        <v>0</v>
      </c>
      <c r="M15" s="67">
        <f>VLOOKUP($B15,Ingredients!$A:$W,13,FALSE)*$D15/100</f>
        <v>0</v>
      </c>
      <c r="N15" s="67">
        <f>VLOOKUP($B15,Ingredients!$A:$W,14,FALSE)*$D15/100</f>
        <v>6.5180815728000011E-2</v>
      </c>
      <c r="O15" s="67">
        <f>VLOOKUP($B15,Ingredients!$A:$W,15,FALSE)*$D15/100</f>
        <v>0</v>
      </c>
      <c r="P15" s="73">
        <f>VLOOKUP($B15,Ingredients!$A:$W,16,FALSE)*$D15/100</f>
        <v>9.3115451040000005E-3</v>
      </c>
      <c r="Q15" s="73">
        <f>VLOOKUP($B15,Ingredients!$A:$W,17,FALSE)*$D15/100</f>
        <v>0</v>
      </c>
      <c r="R15" s="73">
        <f>VLOOKUP($B15,Ingredients!$A:$W,18,FALSE)*$D15/100</f>
        <v>2.7934635312</v>
      </c>
      <c r="S15" s="73">
        <f>VLOOKUP($B15,Ingredients!$A:$W,19,FALSE)*$D15/100</f>
        <v>0.18623090208000001</v>
      </c>
      <c r="T15" s="69">
        <f>VLOOKUP($B15,Ingredients!$A:$W,20,FALSE)*$D15/100</f>
        <v>0</v>
      </c>
      <c r="U15" s="68">
        <f>VLOOKUP($B15,Ingredients!$A:$W,21,FALSE)*$D15/100</f>
        <v>0</v>
      </c>
      <c r="V15" s="70">
        <f>VLOOKUP($B15,Ingredients!$A:$W,22,FALSE)*$D15/100</f>
        <v>0</v>
      </c>
      <c r="W15" s="67">
        <f>VLOOKUP($B15,Ingredients!$A:$W,23,FALSE)*$D15/100</f>
        <v>5.5869270624000003E-3</v>
      </c>
    </row>
    <row r="16" spans="1:23" x14ac:dyDescent="0.35">
      <c r="A16">
        <v>3</v>
      </c>
      <c r="B16" s="14" t="s">
        <v>26</v>
      </c>
      <c r="C16" s="121">
        <v>8.5018999999999997E-2</v>
      </c>
      <c r="D16" s="17">
        <f t="shared" si="2"/>
        <v>0.4954227168</v>
      </c>
      <c r="E16" s="36">
        <f>VLOOKUP($B16,Ingredients!$A:$W,5,FALSE)*$D16/100</f>
        <v>1.223694110496</v>
      </c>
      <c r="F16" s="36">
        <f>VLOOKUP($B16,Ingredients!$A:$W,6,FALSE)*$D16/100</f>
        <v>0</v>
      </c>
      <c r="G16" s="67">
        <f>VLOOKUP($B16,Ingredients!$A:$W,7,FALSE)*$D16/100</f>
        <v>0</v>
      </c>
      <c r="H16" s="67">
        <f>VLOOKUP($B16,Ingredients!$A:$W,8,FALSE)*$D16/100</f>
        <v>0</v>
      </c>
      <c r="I16" s="67">
        <f>VLOOKUP($B16,Ingredients!$A:$W,9,FALSE)*$D16/100</f>
        <v>0</v>
      </c>
      <c r="J16" s="68">
        <f>VLOOKUP($B16,Ingredients!$A:$W,10,FALSE)*$D16/100</f>
        <v>0</v>
      </c>
      <c r="K16" s="67">
        <f>VLOOKUP($B16,Ingredients!$A:$W,11,FALSE)*$D16/100</f>
        <v>0.49269789185760005</v>
      </c>
      <c r="L16" s="67">
        <f>VLOOKUP($B16,Ingredients!$A:$W,12,FALSE)*$D16/100</f>
        <v>0</v>
      </c>
      <c r="M16" s="67">
        <f>VLOOKUP($B16,Ingredients!$A:$W,13,FALSE)*$D16/100</f>
        <v>0</v>
      </c>
      <c r="N16" s="67">
        <f>VLOOKUP($B16,Ingredients!$A:$W,14,FALSE)*$D16/100</f>
        <v>0</v>
      </c>
      <c r="O16" s="67">
        <f>VLOOKUP($B16,Ingredients!$A:$W,15,FALSE)*$D16/100</f>
        <v>0</v>
      </c>
      <c r="P16" s="73">
        <f>VLOOKUP($B16,Ingredients!$A:$W,16,FALSE)*$D16/100</f>
        <v>0</v>
      </c>
      <c r="Q16" s="73">
        <f>VLOOKUP($B16,Ingredients!$A:$W,17,FALSE)*$D16/100</f>
        <v>1.4862681504E-3</v>
      </c>
      <c r="R16" s="73">
        <f>VLOOKUP($B16,Ingredients!$A:$W,18,FALSE)*$D16/100</f>
        <v>1.4862681504E-3</v>
      </c>
      <c r="S16" s="73">
        <f>VLOOKUP($B16,Ingredients!$A:$W,19,FALSE)*$D16/100</f>
        <v>9.9084543360000005E-4</v>
      </c>
      <c r="T16" s="69">
        <f>VLOOKUP($B16,Ingredients!$A:$W,20,FALSE)*$D16/100</f>
        <v>0</v>
      </c>
      <c r="U16" s="68">
        <f>VLOOKUP($B16,Ingredients!$A:$W,21,FALSE)*$D16/100</f>
        <v>0</v>
      </c>
      <c r="V16" s="70">
        <f>VLOOKUP($B16,Ingredients!$A:$W,22,FALSE)*$D16/100</f>
        <v>0</v>
      </c>
      <c r="W16" s="67">
        <f>VLOOKUP($B16,Ingredients!$A:$W,23,FALSE)*$D16/100</f>
        <v>0</v>
      </c>
    </row>
    <row r="17" spans="1:23" x14ac:dyDescent="0.35">
      <c r="A17">
        <v>4</v>
      </c>
      <c r="B17" s="14" t="s">
        <v>27</v>
      </c>
      <c r="C17" s="122">
        <v>7.4279999999999997E-3</v>
      </c>
      <c r="D17" s="17">
        <f t="shared" si="2"/>
        <v>4.3284441600000001E-2</v>
      </c>
      <c r="E17" s="36">
        <f>VLOOKUP($B17,Ingredients!$A:$W,5,FALSE)*$D17/100</f>
        <v>0</v>
      </c>
      <c r="F17" s="36">
        <f>VLOOKUP($B17,Ingredients!$A:$W,6,FALSE)*$D17/100</f>
        <v>0</v>
      </c>
      <c r="G17" s="67">
        <f>VLOOKUP($B17,Ingredients!$A:$W,7,FALSE)*$D17/100</f>
        <v>0</v>
      </c>
      <c r="H17" s="67">
        <f>VLOOKUP($B17,Ingredients!$A:$W,8,FALSE)*$D17/100</f>
        <v>0</v>
      </c>
      <c r="I17" s="67">
        <f>VLOOKUP($B17,Ingredients!$A:$W,9,FALSE)*$D17/100</f>
        <v>0</v>
      </c>
      <c r="J17" s="68">
        <f>VLOOKUP($B17,Ingredients!$A:$W,10,FALSE)*$D17/100</f>
        <v>0</v>
      </c>
      <c r="K17" s="67">
        <f>VLOOKUP($B17,Ingredients!$A:$W,11,FALSE)*$D17/100</f>
        <v>0</v>
      </c>
      <c r="L17" s="67">
        <f>VLOOKUP($B17,Ingredients!$A:$W,12,FALSE)*$D17/100</f>
        <v>0</v>
      </c>
      <c r="M17" s="67">
        <f>VLOOKUP($B17,Ingredients!$A:$W,13,FALSE)*$D17/100</f>
        <v>0</v>
      </c>
      <c r="N17" s="67">
        <f>VLOOKUP($B17,Ingredients!$A:$W,14,FALSE)*$D17/100</f>
        <v>0</v>
      </c>
      <c r="O17" s="67">
        <f>VLOOKUP($B17,Ingredients!$A:$W,15,FALSE)*$D17/100</f>
        <v>0</v>
      </c>
      <c r="P17" s="73">
        <f>VLOOKUP($B17,Ingredients!$A:$W,16,FALSE)*$D17/100</f>
        <v>6.9255106560000006E-4</v>
      </c>
      <c r="Q17" s="73">
        <f>VLOOKUP($B17,Ingredients!$A:$W,17,FALSE)*$D17/100</f>
        <v>1.731377664E-3</v>
      </c>
      <c r="R17" s="73">
        <f>VLOOKUP($B17,Ingredients!$A:$W,18,FALSE)*$D17/100</f>
        <v>6.4926662400000001E-3</v>
      </c>
      <c r="S17" s="73">
        <f>VLOOKUP($B17,Ingredients!$A:$W,19,FALSE)*$D17/100</f>
        <v>0</v>
      </c>
      <c r="T17" s="69">
        <f>VLOOKUP($B17,Ingredients!$A:$W,20,FALSE)*$D17/100</f>
        <v>0</v>
      </c>
      <c r="U17" s="68">
        <f>VLOOKUP($B17,Ingredients!$A:$W,21,FALSE)*$D17/100</f>
        <v>0</v>
      </c>
      <c r="V17" s="70">
        <f>VLOOKUP($B17,Ingredients!$A:$W,22,FALSE)*$D17/100</f>
        <v>0</v>
      </c>
      <c r="W17" s="67">
        <f>VLOOKUP($B17,Ingredients!$A:$W,23,FALSE)*$D17/100</f>
        <v>0</v>
      </c>
    </row>
    <row r="18" spans="1:23" ht="16.399999999999999" customHeight="1" x14ac:dyDescent="0.35">
      <c r="A18">
        <v>5</v>
      </c>
      <c r="B18" s="14" t="s">
        <v>225</v>
      </c>
      <c r="C18" s="122">
        <v>2.3206999999999998E-2</v>
      </c>
      <c r="D18" s="17">
        <f t="shared" si="2"/>
        <v>0.1352318304</v>
      </c>
      <c r="E18" s="36">
        <f>VLOOKUP($B18,Ingredients!$A:$W,5,FALSE)*$D18/100</f>
        <v>0.51388095552000002</v>
      </c>
      <c r="F18" s="36">
        <f>VLOOKUP($B18,Ingredients!$A:$W,6,FALSE)*$D18/100</f>
        <v>0</v>
      </c>
      <c r="G18" s="67">
        <f>VLOOKUP($B18,Ingredients!$A:$W,7,FALSE)*$D18/100</f>
        <v>0</v>
      </c>
      <c r="H18" s="67">
        <f>VLOOKUP($B18,Ingredients!$A:$W,8,FALSE)*$D18/100</f>
        <v>0</v>
      </c>
      <c r="I18" s="67">
        <f>VLOOKUP($B18,Ingredients!$A:$W,9,FALSE)*$D18/100</f>
        <v>0</v>
      </c>
      <c r="J18" s="68">
        <f>VLOOKUP($B18,Ingredients!$A:$W,10,FALSE)*$D18/100</f>
        <v>0</v>
      </c>
      <c r="K18" s="67">
        <f>VLOOKUP($B18,Ingredients!$A:$W,11,FALSE)*$D18/100</f>
        <v>0.12982255718400001</v>
      </c>
      <c r="L18" s="67">
        <f>VLOOKUP($B18,Ingredients!$A:$W,12,FALSE)*$D18/100</f>
        <v>0</v>
      </c>
      <c r="M18" s="67">
        <f>VLOOKUP($B18,Ingredients!$A:$W,13,FALSE)*$D18/100</f>
        <v>0</v>
      </c>
      <c r="N18" s="67">
        <f>VLOOKUP($B18,Ingredients!$A:$W,14,FALSE)*$D18/100</f>
        <v>3.7864912511999999E-2</v>
      </c>
      <c r="O18" s="67">
        <f>VLOOKUP($B18,Ingredients!$A:$W,15,FALSE)*$D18/100</f>
        <v>3.7864912511999999E-2</v>
      </c>
      <c r="P18" s="73">
        <f>VLOOKUP($B18,Ingredients!$A:$W,16,FALSE)*$D18/100</f>
        <v>0</v>
      </c>
      <c r="Q18" s="73">
        <f>VLOOKUP($B18,Ingredients!$A:$W,17,FALSE)*$D18/100</f>
        <v>0</v>
      </c>
      <c r="R18" s="73">
        <f>VLOOKUP($B18,Ingredients!$A:$W,18,FALSE)*$D18/100</f>
        <v>7.437750672E-2</v>
      </c>
      <c r="S18" s="73">
        <f>VLOOKUP($B18,Ingredients!$A:$W,19,FALSE)*$D18/100</f>
        <v>1.3523183039999999E-2</v>
      </c>
      <c r="T18" s="69">
        <f>VLOOKUP($B18,Ingredients!$A:$W,20,FALSE)*$D18/100</f>
        <v>0</v>
      </c>
      <c r="U18" s="68">
        <f>VLOOKUP($B18,Ingredients!$A:$W,21,FALSE)*$D18/100</f>
        <v>0</v>
      </c>
      <c r="V18" s="70">
        <f>VLOOKUP($B18,Ingredients!$A:$W,22,FALSE)*$D18/100</f>
        <v>0</v>
      </c>
      <c r="W18" s="67">
        <f>VLOOKUP($B18,Ingredients!$A:$W,23,FALSE)*$D18/100</f>
        <v>0</v>
      </c>
    </row>
    <row r="19" spans="1:23" x14ac:dyDescent="0.35">
      <c r="A19">
        <v>6</v>
      </c>
      <c r="B19" s="14" t="s">
        <v>30</v>
      </c>
      <c r="C19" s="122">
        <v>3.516E-3</v>
      </c>
      <c r="D19" s="17">
        <f t="shared" si="2"/>
        <v>2.0488435200000002E-2</v>
      </c>
      <c r="E19" s="36">
        <f>VLOOKUP($B19,Ingredients!$A:$W,5,FALSE)*$D19/100</f>
        <v>0.10136858199552</v>
      </c>
      <c r="F19" s="36">
        <f>VLOOKUP($B19,Ingredients!$A:$W,6,FALSE)*$D19/100</f>
        <v>3.9460726195200004E-2</v>
      </c>
      <c r="G19" s="67">
        <f>VLOOKUP($B19,Ingredients!$A:$W,7,FALSE)*$D19/100</f>
        <v>4.3845251328000004E-3</v>
      </c>
      <c r="H19" s="67">
        <f>VLOOKUP($B19,Ingredients!$A:$W,8,FALSE)*$D19/100</f>
        <v>7.765116940800002E-4</v>
      </c>
      <c r="I19" s="67">
        <f>VLOOKUP($B19,Ingredients!$A:$W,9,FALSE)*$D19/100</f>
        <v>0</v>
      </c>
      <c r="J19" s="68">
        <f>VLOOKUP($B19,Ingredients!$A:$W,10,FALSE)*$D19/100</f>
        <v>0</v>
      </c>
      <c r="K19" s="67">
        <f>VLOOKUP($B19,Ingredients!$A:$W,11,FALSE)*$D19/100</f>
        <v>1.5429840549120001E-2</v>
      </c>
      <c r="L19" s="67">
        <f>VLOOKUP($B19,Ingredients!$A:$W,12,FALSE)*$D19/100</f>
        <v>0</v>
      </c>
      <c r="M19" s="67">
        <f>VLOOKUP($B19,Ingredients!$A:$W,13,FALSE)*$D19/100</f>
        <v>0</v>
      </c>
      <c r="N19" s="67">
        <f>VLOOKUP($B19,Ingredients!$A:$W,14,FALSE)*$D19/100</f>
        <v>6.5665434816000005E-3</v>
      </c>
      <c r="O19" s="67">
        <f>VLOOKUP($B19,Ingredients!$A:$W,15,FALSE)*$D19/100</f>
        <v>6.5665434816000005E-3</v>
      </c>
      <c r="P19" s="73">
        <f>VLOOKUP($B19,Ingredients!$A:$W,16,FALSE)*$D19/100</f>
        <v>0</v>
      </c>
      <c r="Q19" s="73">
        <f>VLOOKUP($B19,Ingredients!$A:$W,17,FALSE)*$D19/100</f>
        <v>5.6343196800000012E-4</v>
      </c>
      <c r="R19" s="73">
        <f>VLOOKUP($B19,Ingredients!$A:$W,18,FALSE)*$D19/100</f>
        <v>3.6879183359999998E-5</v>
      </c>
      <c r="S19" s="73">
        <f>VLOOKUP($B19,Ingredients!$A:$W,19,FALSE)*$D19/100</f>
        <v>0</v>
      </c>
      <c r="T19" s="69">
        <f>VLOOKUP($B19,Ingredients!$A:$W,20,FALSE)*$D19/100</f>
        <v>0.38088820574207999</v>
      </c>
      <c r="U19" s="68">
        <f>VLOOKUP($B19,Ingredients!$A:$W,21,FALSE)*$D19/100</f>
        <v>1.2702829824E-4</v>
      </c>
      <c r="V19" s="70">
        <f>VLOOKUP($B19,Ingredients!$A:$W,22,FALSE)*$D19/100</f>
        <v>0</v>
      </c>
      <c r="W19" s="67">
        <f>VLOOKUP($B19,Ingredients!$A:$W,23,FALSE)*$D19/100</f>
        <v>0</v>
      </c>
    </row>
    <row r="20" spans="1:23" x14ac:dyDescent="0.35">
      <c r="A20">
        <v>7</v>
      </c>
      <c r="B20" s="14" t="s">
        <v>32</v>
      </c>
      <c r="C20" s="122">
        <v>1.3190000000000001E-3</v>
      </c>
      <c r="D20" s="17">
        <f t="shared" si="2"/>
        <v>7.6860768000000012E-3</v>
      </c>
      <c r="E20" s="36">
        <f>VLOOKUP($B20,Ingredients!$A:$W,5,FALSE)*$D20/100</f>
        <v>2.4647711082240002E-2</v>
      </c>
      <c r="F20" s="36">
        <f>VLOOKUP($B20,Ingredients!$A:$W,6,FALSE)*$D20/100</f>
        <v>2.7669876480000004E-5</v>
      </c>
      <c r="G20" s="67">
        <f>VLOOKUP($B20,Ingredients!$A:$W,7,FALSE)*$D20/100</f>
        <v>3.0744307200000006E-6</v>
      </c>
      <c r="H20" s="67">
        <f>VLOOKUP($B20,Ingredients!$A:$W,8,FALSE)*$D20/100</f>
        <v>1.5372153600000003E-6</v>
      </c>
      <c r="I20" s="67">
        <f>VLOOKUP($B20,Ingredients!$A:$W,9,FALSE)*$D20/100</f>
        <v>0</v>
      </c>
      <c r="J20" s="68">
        <f>VLOOKUP($B20,Ingredients!$A:$W,10,FALSE)*$D20/100</f>
        <v>0</v>
      </c>
      <c r="K20" s="67">
        <f>VLOOKUP($B20,Ingredients!$A:$W,11,FALSE)*$D20/100</f>
        <v>6.146555616960001E-3</v>
      </c>
      <c r="L20" s="67">
        <f>VLOOKUP($B20,Ingredients!$A:$W,12,FALSE)*$D20/100</f>
        <v>0</v>
      </c>
      <c r="M20" s="67">
        <f>VLOOKUP($B20,Ingredients!$A:$W,13,FALSE)*$D20/100</f>
        <v>0</v>
      </c>
      <c r="N20" s="67">
        <f>VLOOKUP($B20,Ingredients!$A:$W,14,FALSE)*$D20/100</f>
        <v>1.3104760944000003E-3</v>
      </c>
      <c r="O20" s="67">
        <f>VLOOKUP($B20,Ingredients!$A:$W,15,FALSE)*$D20/100</f>
        <v>1.3104760944000003E-3</v>
      </c>
      <c r="P20" s="73">
        <f>VLOOKUP($B20,Ingredients!$A:$W,16,FALSE)*$D20/100</f>
        <v>6.9174691200000009E-6</v>
      </c>
      <c r="Q20" s="73">
        <f>VLOOKUP($B20,Ingredients!$A:$W,17,FALSE)*$D20/100</f>
        <v>2.2404913872000002E-3</v>
      </c>
      <c r="R20" s="73">
        <f>VLOOKUP($B20,Ingredients!$A:$W,18,FALSE)*$D20/100</f>
        <v>6.1434811862400018E-3</v>
      </c>
      <c r="S20" s="73">
        <f>VLOOKUP($B20,Ingredients!$A:$W,19,FALSE)*$D20/100</f>
        <v>6.1796057472000008E-4</v>
      </c>
      <c r="T20" s="69">
        <f>VLOOKUP($B20,Ingredients!$A:$W,20,FALSE)*$D20/100</f>
        <v>0</v>
      </c>
      <c r="U20" s="68">
        <f>VLOOKUP($B20,Ingredients!$A:$W,21,FALSE)*$D20/100</f>
        <v>0</v>
      </c>
      <c r="V20" s="70">
        <f>VLOOKUP($B20,Ingredients!$A:$W,22,FALSE)*$D20/100</f>
        <v>0</v>
      </c>
      <c r="W20" s="67">
        <f>VLOOKUP($B20,Ingredients!$A:$W,23,FALSE)*$D20/100</f>
        <v>0</v>
      </c>
    </row>
    <row r="21" spans="1:23" x14ac:dyDescent="0.35">
      <c r="A21">
        <v>8</v>
      </c>
      <c r="B21" s="14"/>
      <c r="C21" s="35"/>
      <c r="D21" s="17"/>
      <c r="E21" s="36"/>
      <c r="F21" s="36"/>
      <c r="G21" s="67"/>
      <c r="H21" s="67"/>
      <c r="I21" s="67"/>
      <c r="J21" s="68"/>
      <c r="K21" s="67"/>
      <c r="L21" s="67"/>
      <c r="M21" s="67"/>
      <c r="N21" s="67"/>
      <c r="O21" s="67"/>
      <c r="P21" s="73"/>
      <c r="Q21" s="73"/>
      <c r="R21" s="73"/>
      <c r="S21" s="73"/>
      <c r="T21" s="69"/>
      <c r="U21" s="68"/>
      <c r="V21" s="70"/>
      <c r="W21" s="67"/>
    </row>
    <row r="22" spans="1:23" x14ac:dyDescent="0.35">
      <c r="A22">
        <v>9</v>
      </c>
      <c r="B22" s="14"/>
      <c r="C22" s="35"/>
      <c r="D22" s="17"/>
      <c r="E22" s="36"/>
      <c r="F22" s="36"/>
      <c r="G22" s="67"/>
      <c r="H22" s="67"/>
      <c r="I22" s="67"/>
      <c r="J22" s="68"/>
      <c r="K22" s="67"/>
      <c r="L22" s="67"/>
      <c r="M22" s="67"/>
      <c r="N22" s="67"/>
      <c r="O22" s="67"/>
      <c r="P22" s="73"/>
      <c r="Q22" s="73"/>
      <c r="R22" s="73"/>
      <c r="S22" s="73"/>
      <c r="T22" s="69"/>
      <c r="U22" s="68"/>
      <c r="V22" s="70"/>
      <c r="W22" s="67"/>
    </row>
    <row r="23" spans="1:23" x14ac:dyDescent="0.35">
      <c r="A23">
        <v>10</v>
      </c>
      <c r="B23" s="14"/>
      <c r="C23" s="13"/>
      <c r="D23" s="17"/>
      <c r="E23" s="36"/>
      <c r="F23" s="36"/>
      <c r="G23" s="67"/>
      <c r="H23" s="67"/>
      <c r="I23" s="67"/>
      <c r="J23" s="68"/>
      <c r="K23" s="67"/>
      <c r="L23" s="67"/>
      <c r="M23" s="67"/>
      <c r="N23" s="67"/>
      <c r="O23" s="67"/>
      <c r="P23" s="73"/>
      <c r="Q23" s="73"/>
      <c r="R23" s="73"/>
      <c r="S23" s="73"/>
      <c r="T23" s="69"/>
      <c r="U23" s="68"/>
      <c r="V23" s="70"/>
      <c r="W23" s="67"/>
    </row>
    <row r="24" spans="1:23" x14ac:dyDescent="0.35">
      <c r="A24">
        <v>11</v>
      </c>
      <c r="B24" s="14"/>
      <c r="C24" s="13"/>
      <c r="D24" s="17"/>
      <c r="E24" s="36"/>
      <c r="F24" s="36"/>
      <c r="G24" s="67"/>
      <c r="H24" s="67"/>
      <c r="I24" s="67"/>
      <c r="J24" s="68"/>
      <c r="K24" s="67"/>
      <c r="L24" s="67"/>
      <c r="M24" s="67"/>
      <c r="N24" s="67"/>
      <c r="O24" s="67"/>
      <c r="P24" s="73"/>
      <c r="Q24" s="73"/>
      <c r="R24" s="73"/>
      <c r="S24" s="73"/>
      <c r="T24" s="69"/>
      <c r="U24" s="68"/>
      <c r="V24" s="70"/>
      <c r="W24" s="67"/>
    </row>
    <row r="25" spans="1:23" x14ac:dyDescent="0.35">
      <c r="A25">
        <v>12</v>
      </c>
      <c r="B25" s="14"/>
      <c r="C25" s="13"/>
      <c r="D25" s="17"/>
      <c r="E25" s="36"/>
      <c r="F25" s="36"/>
      <c r="G25" s="67"/>
      <c r="H25" s="67"/>
      <c r="I25" s="67"/>
      <c r="J25" s="68"/>
      <c r="K25" s="67"/>
      <c r="L25" s="67"/>
      <c r="M25" s="67"/>
      <c r="N25" s="67"/>
      <c r="O25" s="67"/>
      <c r="P25" s="73"/>
      <c r="Q25" s="73"/>
      <c r="R25" s="73"/>
      <c r="S25" s="73"/>
      <c r="T25" s="69"/>
      <c r="U25" s="68"/>
      <c r="V25" s="70"/>
      <c r="W25" s="67"/>
    </row>
    <row r="26" spans="1:23" x14ac:dyDescent="0.35">
      <c r="A26">
        <v>13</v>
      </c>
      <c r="B26" s="14"/>
      <c r="C26" s="13"/>
      <c r="D26" s="17"/>
      <c r="E26" s="36"/>
      <c r="F26" s="36"/>
      <c r="G26" s="67"/>
      <c r="H26" s="67"/>
      <c r="I26" s="67"/>
      <c r="J26" s="68"/>
      <c r="K26" s="67"/>
      <c r="L26" s="67"/>
      <c r="M26" s="67"/>
      <c r="N26" s="67"/>
      <c r="O26" s="67"/>
      <c r="P26" s="73"/>
      <c r="Q26" s="73"/>
      <c r="R26" s="73"/>
      <c r="S26" s="73"/>
      <c r="T26" s="69"/>
      <c r="U26" s="68"/>
      <c r="V26" s="70"/>
      <c r="W26" s="67"/>
    </row>
    <row r="27" spans="1:23" x14ac:dyDescent="0.35">
      <c r="A27">
        <v>14</v>
      </c>
      <c r="B27" s="14"/>
      <c r="C27" s="13"/>
      <c r="D27" s="17"/>
      <c r="E27" s="36"/>
      <c r="F27" s="36"/>
      <c r="G27" s="67"/>
      <c r="H27" s="67"/>
      <c r="I27" s="67"/>
      <c r="J27" s="68"/>
      <c r="K27" s="67"/>
      <c r="L27" s="67"/>
      <c r="M27" s="67"/>
      <c r="N27" s="67"/>
      <c r="O27" s="67"/>
      <c r="P27" s="73"/>
      <c r="Q27" s="73"/>
      <c r="R27" s="73"/>
      <c r="S27" s="73"/>
      <c r="T27" s="69"/>
      <c r="U27" s="68"/>
      <c r="V27" s="70"/>
      <c r="W27" s="67"/>
    </row>
    <row r="28" spans="1:23" x14ac:dyDescent="0.35">
      <c r="A28">
        <v>15</v>
      </c>
      <c r="B28" s="14"/>
      <c r="C28" s="13"/>
      <c r="D28" s="17"/>
      <c r="E28" s="36"/>
      <c r="F28" s="36"/>
      <c r="G28" s="67"/>
      <c r="H28" s="67"/>
      <c r="I28" s="67"/>
      <c r="J28" s="68"/>
      <c r="K28" s="67"/>
      <c r="L28" s="67"/>
      <c r="M28" s="67"/>
      <c r="N28" s="67"/>
      <c r="O28" s="67"/>
      <c r="P28" s="73"/>
      <c r="Q28" s="73"/>
      <c r="R28" s="73"/>
      <c r="S28" s="73"/>
      <c r="T28" s="69"/>
      <c r="U28" s="68"/>
      <c r="V28" s="70"/>
      <c r="W28" s="67"/>
    </row>
    <row r="29" spans="1:23" x14ac:dyDescent="0.35">
      <c r="A29">
        <v>16</v>
      </c>
      <c r="B29" s="14"/>
      <c r="C29" s="13"/>
      <c r="D29" s="17"/>
      <c r="E29" s="15"/>
      <c r="F29" s="15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</row>
    <row r="30" spans="1:23" x14ac:dyDescent="0.35">
      <c r="A30">
        <v>17</v>
      </c>
      <c r="B30" s="14"/>
      <c r="C30" s="13"/>
      <c r="D30" s="17"/>
      <c r="E30" s="15"/>
      <c r="F30" s="15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</row>
    <row r="31" spans="1:23" x14ac:dyDescent="0.35">
      <c r="A31">
        <v>18</v>
      </c>
      <c r="B31" s="14"/>
      <c r="C31" s="13"/>
      <c r="D31" s="17"/>
      <c r="E31" s="15"/>
      <c r="F31" s="15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</row>
    <row r="32" spans="1:23" x14ac:dyDescent="0.35">
      <c r="A32">
        <v>19</v>
      </c>
      <c r="B32" s="14"/>
      <c r="C32" s="13"/>
      <c r="D32" s="17"/>
      <c r="E32" s="15"/>
      <c r="F32" s="15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</row>
    <row r="33" spans="1:23" x14ac:dyDescent="0.35">
      <c r="A33">
        <v>20</v>
      </c>
      <c r="B33" s="14"/>
      <c r="C33" s="13"/>
      <c r="D33" s="17"/>
      <c r="E33" s="15"/>
      <c r="F33" s="15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</row>
    <row r="34" spans="1:23" x14ac:dyDescent="0.35">
      <c r="A34">
        <v>21</v>
      </c>
      <c r="B34" s="14"/>
      <c r="C34" s="13"/>
      <c r="D34" s="17"/>
      <c r="E34" s="15"/>
      <c r="F34" s="15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</row>
  </sheetData>
  <mergeCells count="1">
    <mergeCell ref="E9:W9"/>
  </mergeCells>
  <pageMargins left="0.7" right="0.7" top="0.75" bottom="0.75" header="0.3" footer="0.3"/>
  <pageSetup orientation="portrait" r:id="rId1"/>
  <headerFooter>
    <oddHeader>&amp;R&amp;"Calibri"&amp;10&amp;K000000Highly Restricted&amp;1#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40D29-5435-4063-A5D6-63197379CE3D}">
          <x14:formula1>
            <xm:f>Ingredients!$A$3:$A$1048576</xm:f>
          </x14:formula1>
          <xm:sqref>B14:B34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104EF-07DB-49FF-8A70-D57C4BA04757}">
  <dimension ref="A1:K71"/>
  <sheetViews>
    <sheetView zoomScaleNormal="100" workbookViewId="0">
      <selection activeCell="C13" sqref="C13"/>
    </sheetView>
  </sheetViews>
  <sheetFormatPr defaultColWidth="9.1796875" defaultRowHeight="14.5" x14ac:dyDescent="0.35"/>
  <cols>
    <col min="1" max="1" width="17.453125" bestFit="1" customWidth="1"/>
    <col min="2" max="2" width="9.453125" customWidth="1"/>
    <col min="3" max="3" width="30.54296875" bestFit="1" customWidth="1"/>
    <col min="4" max="4" width="33" customWidth="1"/>
    <col min="5" max="5" width="31.54296875" bestFit="1" customWidth="1"/>
    <col min="6" max="6" width="26.453125" customWidth="1"/>
    <col min="7" max="7" width="27.1796875" customWidth="1"/>
    <col min="8" max="8" width="23.54296875" customWidth="1"/>
    <col min="9" max="9" width="6.81640625" bestFit="1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.81640625" bestFit="1" customWidth="1"/>
    <col min="14" max="14" width="8.1796875" bestFit="1" customWidth="1"/>
    <col min="15" max="15" width="9.453125" bestFit="1" customWidth="1"/>
    <col min="16" max="16" width="8.1796875" bestFit="1" customWidth="1"/>
    <col min="17" max="17" width="7.54296875" bestFit="1" customWidth="1"/>
  </cols>
  <sheetData>
    <row r="1" spans="1:9" x14ac:dyDescent="0.35">
      <c r="A1" s="13" t="s">
        <v>36</v>
      </c>
      <c r="C1" s="42" t="s">
        <v>135</v>
      </c>
    </row>
    <row r="2" spans="1:9" x14ac:dyDescent="0.35">
      <c r="A2" t="s">
        <v>94</v>
      </c>
      <c r="B2" s="13" t="s">
        <v>228</v>
      </c>
      <c r="D2" t="str">
        <f>A2&amp;" "&amp; B2</f>
        <v>Formulation STONF2</v>
      </c>
      <c r="G2" cm="1">
        <f t="array" aca="1" ref="G2" ca="1">INDIRECT("'"&amp;D2&amp;"'!C7")</f>
        <v>5.8272000000000004</v>
      </c>
      <c r="H2" t="s">
        <v>46</v>
      </c>
      <c r="I2" t="s">
        <v>99</v>
      </c>
    </row>
    <row r="3" spans="1:9" x14ac:dyDescent="0.35">
      <c r="A3" t="str">
        <f>'Formulation STOF2'!B6</f>
        <v>Smooth Texture Sugar Free Orange Natural Dyes</v>
      </c>
      <c r="D3" t="s">
        <v>44</v>
      </c>
      <c r="E3" t="s">
        <v>45</v>
      </c>
      <c r="G3" s="27" cm="1">
        <f t="array" aca="1" ref="G3" ca="1">INDIRECT("'"&amp;D2&amp;"'!D6")</f>
        <v>11.654400000000001</v>
      </c>
      <c r="H3" t="s">
        <v>46</v>
      </c>
      <c r="I3" t="s">
        <v>100</v>
      </c>
    </row>
    <row r="5" spans="1:9" ht="15.5" x14ac:dyDescent="0.35">
      <c r="A5" s="146" t="s">
        <v>104</v>
      </c>
      <c r="B5" t="s">
        <v>101</v>
      </c>
      <c r="C5" s="18">
        <f ca="1">(4*F24)+(4*C10)+(9*C31)</f>
        <v>21.580659792429699</v>
      </c>
      <c r="D5" s="50" t="s">
        <v>95</v>
      </c>
      <c r="E5" s="74" t="s">
        <v>96</v>
      </c>
      <c r="F5" s="74" t="s">
        <v>98</v>
      </c>
    </row>
    <row r="6" spans="1:9" ht="15.5" x14ac:dyDescent="0.35">
      <c r="A6" s="146"/>
      <c r="B6" t="s">
        <v>102</v>
      </c>
      <c r="C6" s="18">
        <f ca="1">(4*F24)+(9*C31)+(4*(C10-D10))+(2*D10)</f>
        <v>16.112244738631297</v>
      </c>
      <c r="D6" s="50" t="s">
        <v>95</v>
      </c>
      <c r="E6" s="74" t="s">
        <v>97</v>
      </c>
      <c r="F6" s="74" t="s">
        <v>115</v>
      </c>
    </row>
    <row r="7" spans="1:9" ht="15.5" x14ac:dyDescent="0.35">
      <c r="A7" s="146"/>
      <c r="B7" t="s">
        <v>103</v>
      </c>
      <c r="C7" s="18">
        <f ca="1">(4*F24)+(9*C31)+(4*(C10-D10))+(2*E10)</f>
        <v>15.244345929376898</v>
      </c>
      <c r="D7" s="50" t="s">
        <v>95</v>
      </c>
      <c r="E7" s="74" t="s">
        <v>97</v>
      </c>
      <c r="F7" s="74" t="s">
        <v>116</v>
      </c>
    </row>
    <row r="8" spans="1:9" s="51" customFormat="1" ht="7" customHeight="1" x14ac:dyDescent="0.35">
      <c r="C8" s="52"/>
      <c r="D8" s="53"/>
      <c r="E8" s="53"/>
    </row>
    <row r="9" spans="1:9" ht="30" customHeight="1" x14ac:dyDescent="0.35">
      <c r="A9" s="150" t="s">
        <v>49</v>
      </c>
      <c r="B9" s="18"/>
      <c r="C9" s="49" t="str" cm="1">
        <f t="array" aca="1" ref="C9" ca="1">INDIRECT("'"&amp;D2&amp;"'!K13")</f>
        <v>Total carbohydrate</v>
      </c>
      <c r="D9" s="49" t="str" cm="1">
        <f t="array" aca="1" ref="D9" ca="1">INDIRECT("'"&amp;D2&amp;"'!L13")</f>
        <v>Total dietary fiber</v>
      </c>
      <c r="E9" s="49" t="str" cm="1">
        <f t="array" aca="1" ref="E9" ca="1">INDIRECT("'"&amp;D2&amp;"'!M13")</f>
        <v>Soluble fiber</v>
      </c>
    </row>
    <row r="10" spans="1:9" x14ac:dyDescent="0.35">
      <c r="A10" s="150"/>
      <c r="B10" s="18" t="s">
        <v>50</v>
      </c>
      <c r="C10" s="21" cm="1">
        <f t="array" aca="1" ref="C10" ca="1">INDIRECT("'"&amp;D2&amp;"'!K8")</f>
        <v>5.2370083490092805</v>
      </c>
      <c r="D10" s="21" cm="1">
        <f t="array" aca="1" ref="D10" ca="1">INDIRECT("'"&amp;D2&amp;"'!L8")</f>
        <v>2.7342075268991999</v>
      </c>
      <c r="E10" s="21" cm="1">
        <f t="array" aca="1" ref="E10" ca="1">INDIRECT("'"&amp;D2&amp;"'!M8")</f>
        <v>2.300258122272</v>
      </c>
    </row>
    <row r="11" spans="1:9" x14ac:dyDescent="0.35">
      <c r="A11" s="150"/>
      <c r="B11" s="18" t="s">
        <v>51</v>
      </c>
      <c r="C11" s="21">
        <v>275</v>
      </c>
      <c r="D11" s="21">
        <v>28</v>
      </c>
      <c r="E11" s="21" t="s">
        <v>52</v>
      </c>
    </row>
    <row r="12" spans="1:9" x14ac:dyDescent="0.35">
      <c r="A12" s="150"/>
      <c r="B12" s="18" t="s">
        <v>53</v>
      </c>
      <c r="C12" s="26">
        <f ca="1">C10/C11</f>
        <v>1.9043666723670111E-2</v>
      </c>
      <c r="D12" s="26">
        <f ca="1">D10/D11</f>
        <v>9.7650268817828567E-2</v>
      </c>
      <c r="E12" s="26" t="s">
        <v>52</v>
      </c>
    </row>
    <row r="13" spans="1:9" ht="127" customHeight="1" x14ac:dyDescent="0.35">
      <c r="A13" s="150"/>
      <c r="B13" s="18"/>
      <c r="C13" s="1" t="s">
        <v>54</v>
      </c>
      <c r="D13" s="1" t="s">
        <v>54</v>
      </c>
      <c r="E13" s="2" t="s">
        <v>55</v>
      </c>
    </row>
    <row r="14" spans="1:9" x14ac:dyDescent="0.35">
      <c r="A14" s="150"/>
      <c r="B14" s="18" t="s">
        <v>56</v>
      </c>
      <c r="C14" s="31" t="s">
        <v>57</v>
      </c>
      <c r="D14" s="31" t="s">
        <v>58</v>
      </c>
      <c r="E14" s="31" t="s">
        <v>59</v>
      </c>
    </row>
    <row r="16" spans="1:9" x14ac:dyDescent="0.35">
      <c r="A16" s="150" t="s">
        <v>49</v>
      </c>
      <c r="B16" s="18"/>
      <c r="C16" s="123" t="s">
        <v>206</v>
      </c>
      <c r="D16" s="123" t="s">
        <v>207</v>
      </c>
      <c r="E16" s="123" t="s">
        <v>208</v>
      </c>
    </row>
    <row r="17" spans="1:6" x14ac:dyDescent="0.35">
      <c r="A17" s="150"/>
      <c r="B17" s="18" t="s">
        <v>50</v>
      </c>
      <c r="C17" s="22" cm="1">
        <f t="array" aca="1" ref="C17" ca="1">INDIRECT("'"&amp;D2&amp;"'!P8")</f>
        <v>0.26450765695392003</v>
      </c>
      <c r="D17" s="22" cm="1">
        <f t="array" aca="1" ref="D17" ca="1">INDIRECT("'"&amp;D2&amp;"'!Q8")</f>
        <v>27.641746811217605</v>
      </c>
      <c r="E17" s="22" cm="1">
        <f t="array" aca="1" ref="E17" ca="1">INDIRECT("'"&amp;D2&amp;"'!S8")</f>
        <v>5.9167702000416016</v>
      </c>
    </row>
    <row r="18" spans="1:6" x14ac:dyDescent="0.35">
      <c r="A18" s="150"/>
      <c r="B18" s="18" t="s">
        <v>51</v>
      </c>
      <c r="C18" s="22">
        <v>18</v>
      </c>
      <c r="D18" s="22">
        <v>4700</v>
      </c>
      <c r="E18" s="22">
        <v>1300</v>
      </c>
    </row>
    <row r="19" spans="1:6" x14ac:dyDescent="0.35">
      <c r="A19" s="150"/>
      <c r="B19" s="18" t="s">
        <v>53</v>
      </c>
      <c r="C19" s="26">
        <f ca="1">C17/C18</f>
        <v>1.4694869830773335E-2</v>
      </c>
      <c r="D19" s="26">
        <f t="shared" ref="D19:E19" ca="1" si="0">D17/D18</f>
        <v>5.8812227257909796E-3</v>
      </c>
      <c r="E19" s="26">
        <f t="shared" ca="1" si="0"/>
        <v>4.5513616923396937E-3</v>
      </c>
    </row>
    <row r="20" spans="1:6" ht="43.5" x14ac:dyDescent="0.35">
      <c r="A20" s="150"/>
      <c r="B20" s="18"/>
      <c r="C20" s="124" t="s">
        <v>209</v>
      </c>
      <c r="D20" s="124" t="s">
        <v>210</v>
      </c>
      <c r="E20" s="124" t="s">
        <v>210</v>
      </c>
    </row>
    <row r="21" spans="1:6" x14ac:dyDescent="0.35">
      <c r="A21" s="150"/>
      <c r="B21" s="18" t="s">
        <v>56</v>
      </c>
      <c r="C21" s="31" t="s">
        <v>140</v>
      </c>
      <c r="D21" s="31" t="s">
        <v>60</v>
      </c>
      <c r="E21" s="31">
        <v>0</v>
      </c>
    </row>
    <row r="23" spans="1:6" x14ac:dyDescent="0.35">
      <c r="A23" s="150" t="s">
        <v>49</v>
      </c>
      <c r="B23" s="18"/>
      <c r="C23" s="18" t="s">
        <v>215</v>
      </c>
      <c r="D23" s="18" t="s">
        <v>216</v>
      </c>
      <c r="E23" s="123" t="s">
        <v>217</v>
      </c>
      <c r="F23" s="18" t="s">
        <v>22</v>
      </c>
    </row>
    <row r="24" spans="1:6" x14ac:dyDescent="0.35">
      <c r="A24" s="150"/>
      <c r="B24" s="18" t="s">
        <v>50</v>
      </c>
      <c r="C24" s="23" cm="1">
        <f t="array" aca="1" ref="C24" ca="1">INDIRECT("'"&amp;D2&amp;"'!T8")</f>
        <v>0.38088820574207999</v>
      </c>
      <c r="D24" s="24" cm="1">
        <f t="array" aca="1" ref="D24" ca="1">INDIRECT("'"&amp;D2&amp;"'!U8")</f>
        <v>1.2702829824E-4</v>
      </c>
      <c r="E24" s="24" cm="1">
        <f t="array" aca="1" ref="E24" ca="1">INDIRECT("'"&amp;D2&amp;"'!V8")</f>
        <v>0</v>
      </c>
      <c r="F24" s="21" cm="1">
        <f t="array" aca="1" ref="F24" ca="1">INDIRECT("'"&amp;D2&amp;"'!W8")</f>
        <v>7.4137881883584E-2</v>
      </c>
    </row>
    <row r="25" spans="1:6" x14ac:dyDescent="0.35">
      <c r="A25" s="150"/>
      <c r="B25" s="18" t="s">
        <v>51</v>
      </c>
      <c r="C25" s="126" t="s">
        <v>218</v>
      </c>
      <c r="D25" s="126">
        <v>90</v>
      </c>
      <c r="E25" s="126" t="s">
        <v>219</v>
      </c>
      <c r="F25" s="126" t="s">
        <v>52</v>
      </c>
    </row>
    <row r="26" spans="1:6" x14ac:dyDescent="0.35">
      <c r="A26" s="150"/>
      <c r="B26" s="18" t="s">
        <v>53</v>
      </c>
      <c r="C26" s="26" t="s">
        <v>52</v>
      </c>
      <c r="D26" s="26" t="s">
        <v>52</v>
      </c>
      <c r="E26" s="26">
        <f ca="1">E24/20</f>
        <v>0</v>
      </c>
      <c r="F26" s="26" t="s">
        <v>52</v>
      </c>
    </row>
    <row r="27" spans="1:6" ht="87" x14ac:dyDescent="0.35">
      <c r="A27" s="150"/>
      <c r="B27" s="18"/>
      <c r="C27" s="124" t="s">
        <v>211</v>
      </c>
      <c r="D27" s="124" t="s">
        <v>212</v>
      </c>
      <c r="E27" s="124" t="s">
        <v>213</v>
      </c>
      <c r="F27" s="125" t="s">
        <v>214</v>
      </c>
    </row>
    <row r="28" spans="1:6" x14ac:dyDescent="0.35">
      <c r="A28" s="150"/>
      <c r="B28" s="18" t="s">
        <v>56</v>
      </c>
      <c r="C28" s="31" t="s">
        <v>62</v>
      </c>
      <c r="D28" s="31" t="s">
        <v>62</v>
      </c>
      <c r="E28" s="31">
        <v>0</v>
      </c>
      <c r="F28" s="31" t="s">
        <v>63</v>
      </c>
    </row>
    <row r="30" spans="1:6" x14ac:dyDescent="0.35">
      <c r="A30" s="149" t="s">
        <v>64</v>
      </c>
      <c r="B30" s="18"/>
      <c r="C30" s="19" t="s">
        <v>6</v>
      </c>
      <c r="D30" s="19" t="s">
        <v>7</v>
      </c>
      <c r="E30" s="19" t="s">
        <v>8</v>
      </c>
      <c r="F30" s="19" t="s">
        <v>9</v>
      </c>
    </row>
    <row r="31" spans="1:6" x14ac:dyDescent="0.35">
      <c r="A31" s="149"/>
      <c r="B31" s="18" t="s">
        <v>50</v>
      </c>
      <c r="C31" s="21" cm="1">
        <f t="array" aca="1" ref="C31" ca="1">INDIRECT("'"&amp;D2&amp;"'!G8")</f>
        <v>3.7341652095360008E-2</v>
      </c>
      <c r="D31" s="21" cm="1">
        <f t="array" aca="1" ref="D31" ca="1">INDIRECT("'"&amp;D2&amp;"'!H8")</f>
        <v>6.1942595235840014E-3</v>
      </c>
      <c r="E31" s="21" cm="1">
        <f t="array" aca="1" ref="E31" ca="1">INDIRECT("'"&amp;D2&amp;"'!I8")</f>
        <v>0</v>
      </c>
      <c r="F31" s="21" cm="1">
        <f t="array" aca="1" ref="F31" ca="1">INDIRECT("'"&amp;D2&amp;"'!J8")</f>
        <v>0</v>
      </c>
    </row>
    <row r="32" spans="1:6" x14ac:dyDescent="0.35">
      <c r="A32" s="149"/>
      <c r="B32" s="18" t="s">
        <v>51</v>
      </c>
      <c r="C32" s="126">
        <v>78</v>
      </c>
      <c r="D32" s="126">
        <v>20</v>
      </c>
      <c r="E32" s="126" t="s">
        <v>52</v>
      </c>
      <c r="F32" s="126" t="s">
        <v>222</v>
      </c>
    </row>
    <row r="33" spans="1:11" x14ac:dyDescent="0.35">
      <c r="A33" s="149"/>
      <c r="B33" s="18" t="s">
        <v>53</v>
      </c>
      <c r="C33" s="26" t="s">
        <v>52</v>
      </c>
      <c r="D33" s="26" t="s">
        <v>52</v>
      </c>
      <c r="E33" s="26" t="s">
        <v>52</v>
      </c>
      <c r="F33" s="26" t="s">
        <v>52</v>
      </c>
    </row>
    <row r="34" spans="1:11" ht="73.400000000000006" customHeight="1" x14ac:dyDescent="0.35">
      <c r="A34" s="149"/>
      <c r="B34" s="18"/>
      <c r="C34" s="125" t="s">
        <v>220</v>
      </c>
      <c r="D34" s="125" t="s">
        <v>220</v>
      </c>
      <c r="E34" s="125" t="s">
        <v>220</v>
      </c>
      <c r="F34" s="125" t="s">
        <v>221</v>
      </c>
    </row>
    <row r="35" spans="1:11" x14ac:dyDescent="0.35">
      <c r="A35" s="149"/>
      <c r="B35" s="18" t="s">
        <v>56</v>
      </c>
      <c r="C35" s="31" t="s">
        <v>62</v>
      </c>
      <c r="D35" s="31" t="s">
        <v>62</v>
      </c>
      <c r="E35" s="31" t="s">
        <v>62</v>
      </c>
      <c r="F35" s="31" t="s">
        <v>62</v>
      </c>
    </row>
    <row r="37" spans="1:11" ht="30" customHeight="1" x14ac:dyDescent="0.35">
      <c r="A37" s="149" t="s">
        <v>64</v>
      </c>
      <c r="B37" s="18"/>
      <c r="C37" s="20" t="str" cm="1">
        <f t="array" aca="1" ref="C37" ca="1">INDIRECT("'"&amp;D2&amp;"'!E13")</f>
        <v>Calories (US Rules)</v>
      </c>
      <c r="D37" s="19" t="s">
        <v>5</v>
      </c>
      <c r="E37" s="19" t="str" cm="1">
        <f t="array" aca="1" ref="E37" ca="1">INDIRECT("'"&amp;D2&amp;"'!N13")</f>
        <v xml:space="preserve">Sugar </v>
      </c>
      <c r="F37" s="19" t="str" cm="1">
        <f t="array" aca="1" ref="F37" ca="1">INDIRECT("'"&amp;D2&amp;"'!O13")</f>
        <v>Added Sugars</v>
      </c>
      <c r="G37" s="19" t="str" cm="1">
        <f t="array" aca="1" ref="G37" ca="1">INDIRECT("'"&amp;D2&amp;"'!R13")</f>
        <v>Sodium</v>
      </c>
    </row>
    <row r="38" spans="1:11" x14ac:dyDescent="0.35">
      <c r="A38" s="149"/>
      <c r="B38" s="18" t="s">
        <v>50</v>
      </c>
      <c r="C38" s="20">
        <f ca="1">C7</f>
        <v>15.244345929376898</v>
      </c>
      <c r="D38" s="20" cm="1">
        <f t="array" aca="1" ref="D38" ca="1">INDIRECT("'"&amp;D2&amp;"'!F8")</f>
        <v>0.18050563868812802</v>
      </c>
      <c r="E38" s="21" cm="1">
        <f t="array" aca="1" ref="E38" ca="1">INDIRECT("'"&amp;D2&amp;"'!N8")</f>
        <v>0.11418552529440001</v>
      </c>
      <c r="F38" s="21" cm="1">
        <f t="array" aca="1" ref="F38" ca="1">INDIRECT("'"&amp;D2&amp;"'!O8")</f>
        <v>4.5741932088000002E-2</v>
      </c>
      <c r="G38" s="22" cm="1">
        <f t="array" aca="1" ref="G38" ca="1">INDIRECT("'"&amp;D2&amp;"'!R8")</f>
        <v>5.1773642887344007</v>
      </c>
    </row>
    <row r="39" spans="1:11" x14ac:dyDescent="0.35">
      <c r="A39" s="149"/>
      <c r="B39" s="18"/>
      <c r="C39" s="126" t="s">
        <v>52</v>
      </c>
      <c r="D39" s="126" t="s">
        <v>52</v>
      </c>
      <c r="E39" s="126" t="s">
        <v>52</v>
      </c>
      <c r="F39" s="126">
        <v>50</v>
      </c>
      <c r="G39" s="126">
        <v>2300</v>
      </c>
    </row>
    <row r="40" spans="1:11" x14ac:dyDescent="0.35">
      <c r="A40" s="149"/>
      <c r="B40" s="18" t="s">
        <v>53</v>
      </c>
      <c r="C40" s="25" t="s">
        <v>52</v>
      </c>
      <c r="D40" s="25" t="s">
        <v>52</v>
      </c>
      <c r="E40" s="26" t="s">
        <v>52</v>
      </c>
      <c r="F40" s="26">
        <f t="shared" ref="F40:G40" ca="1" si="1">F38/F39</f>
        <v>9.1483864176000003E-4</v>
      </c>
      <c r="G40" s="26">
        <f t="shared" ca="1" si="1"/>
        <v>2.2510279516236523E-3</v>
      </c>
    </row>
    <row r="41" spans="1:11" ht="87" x14ac:dyDescent="0.35">
      <c r="A41" s="149"/>
      <c r="B41" s="18"/>
      <c r="C41" s="127" t="s">
        <v>65</v>
      </c>
      <c r="D41" s="127" t="s">
        <v>223</v>
      </c>
      <c r="E41" s="127" t="s">
        <v>214</v>
      </c>
      <c r="F41" s="127" t="s">
        <v>214</v>
      </c>
      <c r="G41" s="127" t="s">
        <v>224</v>
      </c>
      <c r="K41" s="32"/>
    </row>
    <row r="42" spans="1:11" x14ac:dyDescent="0.35">
      <c r="A42" s="149"/>
      <c r="B42" s="18" t="s">
        <v>56</v>
      </c>
      <c r="C42" s="31" t="s">
        <v>161</v>
      </c>
      <c r="D42" s="31" t="s">
        <v>62</v>
      </c>
      <c r="E42" s="30">
        <v>0</v>
      </c>
      <c r="F42" s="31">
        <v>0</v>
      </c>
      <c r="G42" s="31" t="s">
        <v>67</v>
      </c>
      <c r="K42" s="33"/>
    </row>
    <row r="43" spans="1:11" x14ac:dyDescent="0.35">
      <c r="A43" s="29"/>
      <c r="D43" s="28"/>
      <c r="K43" s="34"/>
    </row>
    <row r="44" spans="1:11" x14ac:dyDescent="0.35">
      <c r="D44" s="28"/>
      <c r="K44" s="34"/>
    </row>
    <row r="45" spans="1:11" x14ac:dyDescent="0.35">
      <c r="D45" s="28"/>
    </row>
    <row r="46" spans="1:11" x14ac:dyDescent="0.35">
      <c r="D46" s="28"/>
    </row>
    <row r="50" spans="1:6" x14ac:dyDescent="0.35">
      <c r="A50" s="43" t="s">
        <v>186</v>
      </c>
      <c r="B50" s="43"/>
      <c r="C50" s="113"/>
    </row>
    <row r="51" spans="1:6" x14ac:dyDescent="0.35">
      <c r="A51" s="42" t="s">
        <v>162</v>
      </c>
      <c r="B51" s="42">
        <v>14917322</v>
      </c>
    </row>
    <row r="52" spans="1:6" x14ac:dyDescent="0.35">
      <c r="B52" t="s">
        <v>163</v>
      </c>
      <c r="D52" t="s">
        <v>174</v>
      </c>
      <c r="F52" s="114" t="s">
        <v>182</v>
      </c>
    </row>
    <row r="53" spans="1:6" x14ac:dyDescent="0.35">
      <c r="A53" s="9" t="s">
        <v>43</v>
      </c>
      <c r="B53">
        <v>238</v>
      </c>
      <c r="D53">
        <f>(5.8/100)*B53</f>
        <v>13.803999999999998</v>
      </c>
      <c r="F53" s="114" t="str">
        <f>C42</f>
        <v>15kCal</v>
      </c>
    </row>
    <row r="54" spans="1:6" x14ac:dyDescent="0.35">
      <c r="A54" s="9" t="s">
        <v>5</v>
      </c>
      <c r="B54">
        <v>5</v>
      </c>
      <c r="D54">
        <f t="shared" ref="D54:D71" si="2">(5.8/100)*B54</f>
        <v>0.28999999999999998</v>
      </c>
      <c r="F54" s="114" t="str">
        <f>D42</f>
        <v>none</v>
      </c>
    </row>
    <row r="55" spans="1:6" x14ac:dyDescent="0.35">
      <c r="A55" s="71" t="s">
        <v>6</v>
      </c>
      <c r="B55">
        <v>0.55600000000000005</v>
      </c>
      <c r="D55">
        <f t="shared" si="2"/>
        <v>3.2247999999999999E-2</v>
      </c>
      <c r="F55" s="114" t="str">
        <f>C35</f>
        <v>none</v>
      </c>
    </row>
    <row r="56" spans="1:6" x14ac:dyDescent="0.35">
      <c r="A56" s="71" t="s">
        <v>7</v>
      </c>
      <c r="B56">
        <v>8.7999999999999995E-2</v>
      </c>
      <c r="D56">
        <f t="shared" si="2"/>
        <v>5.1039999999999992E-3</v>
      </c>
      <c r="F56" s="114" t="str">
        <f>D35</f>
        <v>none</v>
      </c>
    </row>
    <row r="57" spans="1:6" x14ac:dyDescent="0.35">
      <c r="A57" s="71" t="s">
        <v>8</v>
      </c>
      <c r="B57" t="s">
        <v>187</v>
      </c>
      <c r="F57" s="114" t="str">
        <f>E35</f>
        <v>none</v>
      </c>
    </row>
    <row r="58" spans="1:6" x14ac:dyDescent="0.35">
      <c r="A58" s="71" t="s">
        <v>9</v>
      </c>
      <c r="B58" t="s">
        <v>164</v>
      </c>
      <c r="C58" t="s">
        <v>165</v>
      </c>
      <c r="D58">
        <f>0.01*5.8</f>
        <v>5.7999999999999996E-2</v>
      </c>
      <c r="E58" t="s">
        <v>132</v>
      </c>
      <c r="F58" s="114" t="str">
        <f>F35</f>
        <v>none</v>
      </c>
    </row>
    <row r="59" spans="1:6" x14ac:dyDescent="0.35">
      <c r="A59" s="71" t="s">
        <v>10</v>
      </c>
      <c r="B59">
        <v>74.7</v>
      </c>
      <c r="D59">
        <f t="shared" si="2"/>
        <v>4.3326000000000002</v>
      </c>
      <c r="F59" s="114" t="str">
        <f>C14</f>
        <v>5g</v>
      </c>
    </row>
    <row r="60" spans="1:6" x14ac:dyDescent="0.35">
      <c r="A60" s="71" t="s">
        <v>11</v>
      </c>
      <c r="B60">
        <v>29.2</v>
      </c>
      <c r="D60">
        <f t="shared" si="2"/>
        <v>1.6935999999999998</v>
      </c>
      <c r="F60" s="114" t="str">
        <f>D14</f>
        <v>3g</v>
      </c>
    </row>
    <row r="61" spans="1:6" x14ac:dyDescent="0.35">
      <c r="A61" s="71" t="s">
        <v>12</v>
      </c>
      <c r="B61">
        <v>22.3</v>
      </c>
      <c r="D61">
        <f t="shared" si="2"/>
        <v>1.2933999999999999</v>
      </c>
      <c r="F61" s="114" t="str">
        <f>E14</f>
        <v>2g</v>
      </c>
    </row>
    <row r="62" spans="1:6" x14ac:dyDescent="0.35">
      <c r="A62" s="71" t="s">
        <v>13</v>
      </c>
      <c r="B62">
        <v>2.4</v>
      </c>
      <c r="D62">
        <f t="shared" si="2"/>
        <v>0.13919999999999999</v>
      </c>
      <c r="F62" s="115">
        <f>E42</f>
        <v>0</v>
      </c>
    </row>
    <row r="63" spans="1:6" x14ac:dyDescent="0.35">
      <c r="A63" s="71" t="s">
        <v>14</v>
      </c>
      <c r="D63">
        <f t="shared" si="2"/>
        <v>0</v>
      </c>
      <c r="F63" s="114">
        <f>F42</f>
        <v>0</v>
      </c>
    </row>
    <row r="64" spans="1:6" x14ac:dyDescent="0.35">
      <c r="A64" s="71" t="s">
        <v>15</v>
      </c>
      <c r="B64">
        <v>31.6</v>
      </c>
      <c r="C64" t="s">
        <v>166</v>
      </c>
      <c r="D64">
        <f>B64*5.8</f>
        <v>183.28</v>
      </c>
      <c r="E64" t="s">
        <v>132</v>
      </c>
      <c r="F64" s="114" t="str">
        <f>C21</f>
        <v>2% DV</v>
      </c>
    </row>
    <row r="65" spans="1:6" x14ac:dyDescent="0.35">
      <c r="A65" s="71" t="s">
        <v>16</v>
      </c>
      <c r="B65" s="113"/>
      <c r="C65" t="s">
        <v>185</v>
      </c>
      <c r="D65">
        <f t="shared" si="2"/>
        <v>0</v>
      </c>
      <c r="E65" t="s">
        <v>132</v>
      </c>
      <c r="F65" s="114" t="str">
        <f>D21</f>
        <v>30 mg</v>
      </c>
    </row>
    <row r="66" spans="1:6" x14ac:dyDescent="0.35">
      <c r="A66" s="71" t="s">
        <v>17</v>
      </c>
      <c r="B66" s="113"/>
      <c r="C66" t="s">
        <v>185</v>
      </c>
      <c r="D66">
        <f t="shared" si="2"/>
        <v>0</v>
      </c>
      <c r="E66" t="s">
        <v>132</v>
      </c>
      <c r="F66" s="114" t="str">
        <f>G42</f>
        <v>5mg</v>
      </c>
    </row>
    <row r="67" spans="1:6" x14ac:dyDescent="0.35">
      <c r="A67" s="71" t="s">
        <v>18</v>
      </c>
      <c r="B67">
        <v>750</v>
      </c>
      <c r="C67" t="s">
        <v>166</v>
      </c>
      <c r="D67">
        <f>B67*5.8</f>
        <v>4350</v>
      </c>
      <c r="E67" t="s">
        <v>132</v>
      </c>
      <c r="F67" s="116">
        <f>E21</f>
        <v>0</v>
      </c>
    </row>
    <row r="68" spans="1:6" x14ac:dyDescent="0.35">
      <c r="A68" s="71" t="s">
        <v>19</v>
      </c>
      <c r="B68" s="113"/>
      <c r="C68" t="s">
        <v>185</v>
      </c>
      <c r="D68">
        <f t="shared" si="2"/>
        <v>0</v>
      </c>
      <c r="F68" s="114" t="str">
        <f>C28</f>
        <v>none</v>
      </c>
    </row>
    <row r="69" spans="1:6" x14ac:dyDescent="0.35">
      <c r="A69" s="71" t="s">
        <v>20</v>
      </c>
      <c r="B69" s="113"/>
      <c r="C69" t="s">
        <v>185</v>
      </c>
      <c r="D69">
        <f t="shared" si="2"/>
        <v>0</v>
      </c>
      <c r="F69" s="114" t="str">
        <f>D28</f>
        <v>none</v>
      </c>
    </row>
    <row r="70" spans="1:6" x14ac:dyDescent="0.35">
      <c r="A70" s="71" t="s">
        <v>21</v>
      </c>
      <c r="B70" s="113"/>
      <c r="C70" t="s">
        <v>185</v>
      </c>
      <c r="D70">
        <f t="shared" si="2"/>
        <v>0</v>
      </c>
      <c r="F70" s="114">
        <f>E28</f>
        <v>0</v>
      </c>
    </row>
    <row r="71" spans="1:6" x14ac:dyDescent="0.35">
      <c r="A71" s="71" t="s">
        <v>22</v>
      </c>
      <c r="D71">
        <f t="shared" si="2"/>
        <v>0</v>
      </c>
      <c r="F71" s="114" t="str">
        <f>F28</f>
        <v>0g</v>
      </c>
    </row>
  </sheetData>
  <mergeCells count="6">
    <mergeCell ref="A37:A42"/>
    <mergeCell ref="A5:A7"/>
    <mergeCell ref="A9:A14"/>
    <mergeCell ref="A16:A21"/>
    <mergeCell ref="A23:A28"/>
    <mergeCell ref="A30:A35"/>
  </mergeCells>
  <pageMargins left="0.7" right="0.7" top="0.75" bottom="0.75" header="0.3" footer="0.3"/>
  <pageSetup orientation="portrait" r:id="rId1"/>
  <headerFooter>
    <oddHeader>&amp;R&amp;"Calibri"&amp;10&amp;K000000Highly Restricted&amp;1#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C6662-B974-463C-AB34-F21081956995}">
  <dimension ref="A1:W34"/>
  <sheetViews>
    <sheetView topLeftCell="A4" zoomScaleNormal="100" workbookViewId="0">
      <selection activeCell="D15" sqref="D15"/>
    </sheetView>
  </sheetViews>
  <sheetFormatPr defaultRowHeight="14.5" x14ac:dyDescent="0.35"/>
  <cols>
    <col min="1" max="1" width="3" bestFit="1" customWidth="1"/>
    <col min="2" max="2" width="20.1796875" bestFit="1" customWidth="1"/>
    <col min="3" max="3" width="13.1796875" bestFit="1" customWidth="1"/>
    <col min="4" max="4" width="16.453125" bestFit="1" customWidth="1"/>
    <col min="5" max="6" width="12.6328125" customWidth="1"/>
    <col min="7" max="23" width="12.6328125" style="66" customWidth="1"/>
  </cols>
  <sheetData>
    <row r="1" spans="1:23" s="44" customFormat="1" x14ac:dyDescent="0.35">
      <c r="B1" s="45" t="s">
        <v>88</v>
      </c>
      <c r="C1" s="46">
        <v>46078</v>
      </c>
      <c r="D1" s="47" t="s">
        <v>89</v>
      </c>
      <c r="E1" s="45" t="s">
        <v>90</v>
      </c>
      <c r="F1" s="47" t="s">
        <v>91</v>
      </c>
      <c r="G1" s="64" t="s">
        <v>92</v>
      </c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</row>
    <row r="2" spans="1:23" x14ac:dyDescent="0.35">
      <c r="B2" t="s">
        <v>35</v>
      </c>
    </row>
    <row r="3" spans="1:23" x14ac:dyDescent="0.35">
      <c r="B3" s="13" t="s">
        <v>36</v>
      </c>
    </row>
    <row r="4" spans="1:23" x14ac:dyDescent="0.35">
      <c r="B4" t="s">
        <v>37</v>
      </c>
      <c r="D4" s="37"/>
    </row>
    <row r="5" spans="1:23" x14ac:dyDescent="0.35">
      <c r="B5" t="s">
        <v>38</v>
      </c>
      <c r="C5" t="s">
        <v>3</v>
      </c>
      <c r="D5" s="13" t="s">
        <v>267</v>
      </c>
    </row>
    <row r="6" spans="1:23" ht="15" thickBot="1" x14ac:dyDescent="0.4">
      <c r="B6" s="13" t="s">
        <v>93</v>
      </c>
      <c r="C6" s="13">
        <v>5.8272000000000004</v>
      </c>
      <c r="D6">
        <f>C6*2</f>
        <v>11.654400000000001</v>
      </c>
    </row>
    <row r="7" spans="1:23" ht="15" thickBot="1" x14ac:dyDescent="0.4">
      <c r="B7" s="62" t="s">
        <v>114</v>
      </c>
      <c r="C7" s="63">
        <v>6.6</v>
      </c>
      <c r="E7" t="s">
        <v>113</v>
      </c>
    </row>
    <row r="8" spans="1:23" ht="27" customHeight="1" x14ac:dyDescent="0.35">
      <c r="B8" s="10" t="s">
        <v>39</v>
      </c>
      <c r="C8" s="11">
        <f>SUM(C14:C34)</f>
        <v>0.9998999999999999</v>
      </c>
      <c r="D8" s="16">
        <f>SUM(D14:D21)</f>
        <v>6.5993399999999998</v>
      </c>
      <c r="E8" s="36">
        <f ca="1">'Nutrition STOF'!C7</f>
        <v>30.34974158512</v>
      </c>
      <c r="F8" s="36">
        <f t="shared" ref="F8:W8" si="0">SUM(F14:F34)</f>
        <v>0.16048277519999998</v>
      </c>
      <c r="G8" s="67">
        <f t="shared" si="0"/>
        <v>3.7502915999999997E-2</v>
      </c>
      <c r="H8" s="67">
        <f t="shared" si="0"/>
        <v>6.1638455999999996E-3</v>
      </c>
      <c r="I8" s="67">
        <f t="shared" si="0"/>
        <v>0</v>
      </c>
      <c r="J8" s="68">
        <f>SUM(J14:J34)</f>
        <v>0</v>
      </c>
      <c r="K8" s="67">
        <f t="shared" si="0"/>
        <v>5.9349608999999992</v>
      </c>
      <c r="L8" s="67">
        <f t="shared" si="0"/>
        <v>3.11162808</v>
      </c>
      <c r="M8" s="67">
        <f t="shared" si="0"/>
        <v>2.6177778000000003</v>
      </c>
      <c r="N8" s="67">
        <f t="shared" si="0"/>
        <v>0.12094565999999997</v>
      </c>
      <c r="O8" s="67">
        <f t="shared" si="0"/>
        <v>4.3058399999999997E-2</v>
      </c>
      <c r="P8" s="73">
        <f t="shared" si="0"/>
        <v>0.30101477999999998</v>
      </c>
      <c r="Q8" s="73">
        <f t="shared" si="0"/>
        <v>31.454136120000001</v>
      </c>
      <c r="R8" s="73">
        <f t="shared" si="0"/>
        <v>5.8847929799999985</v>
      </c>
      <c r="S8" s="73">
        <f t="shared" si="0"/>
        <v>6.7327736519999997</v>
      </c>
      <c r="T8" s="69">
        <f t="shared" si="0"/>
        <v>0</v>
      </c>
      <c r="U8" s="68">
        <f t="shared" si="0"/>
        <v>0</v>
      </c>
      <c r="V8" s="70">
        <f t="shared" si="0"/>
        <v>0</v>
      </c>
      <c r="W8" s="67">
        <f t="shared" si="0"/>
        <v>8.4371271599999978E-2</v>
      </c>
    </row>
    <row r="9" spans="1:23" x14ac:dyDescent="0.35">
      <c r="E9" s="148" t="s">
        <v>40</v>
      </c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</row>
    <row r="10" spans="1:23" x14ac:dyDescent="0.35">
      <c r="B10" t="s">
        <v>112</v>
      </c>
      <c r="C10" s="37">
        <v>2</v>
      </c>
      <c r="D10" s="61">
        <f>C6*2</f>
        <v>11.654400000000001</v>
      </c>
      <c r="E10" s="36">
        <f ca="1">E8*$C$10</f>
        <v>60.699483170240001</v>
      </c>
      <c r="F10" s="36">
        <f t="shared" ref="F10:W10" si="1">F8*$C$10</f>
        <v>0.32096555039999997</v>
      </c>
      <c r="G10" s="67">
        <f t="shared" si="1"/>
        <v>7.5005831999999995E-2</v>
      </c>
      <c r="H10" s="67">
        <f t="shared" si="1"/>
        <v>1.2327691199999999E-2</v>
      </c>
      <c r="I10" s="67">
        <f t="shared" si="1"/>
        <v>0</v>
      </c>
      <c r="J10" s="68">
        <f t="shared" si="1"/>
        <v>0</v>
      </c>
      <c r="K10" s="67">
        <f t="shared" si="1"/>
        <v>11.869921799999998</v>
      </c>
      <c r="L10" s="67">
        <f t="shared" si="1"/>
        <v>6.22325616</v>
      </c>
      <c r="M10" s="67">
        <f t="shared" si="1"/>
        <v>5.2355556000000005</v>
      </c>
      <c r="N10" s="67">
        <f t="shared" si="1"/>
        <v>0.24189131999999994</v>
      </c>
      <c r="O10" s="67">
        <f t="shared" si="1"/>
        <v>8.6116799999999993E-2</v>
      </c>
      <c r="P10" s="73">
        <f t="shared" si="1"/>
        <v>0.60202955999999996</v>
      </c>
      <c r="Q10" s="73">
        <f t="shared" si="1"/>
        <v>62.908272240000002</v>
      </c>
      <c r="R10" s="73">
        <f t="shared" si="1"/>
        <v>11.769585959999997</v>
      </c>
      <c r="S10" s="73">
        <f t="shared" si="1"/>
        <v>13.465547303999999</v>
      </c>
      <c r="T10" s="69">
        <f t="shared" si="1"/>
        <v>0</v>
      </c>
      <c r="U10" s="68">
        <f t="shared" si="1"/>
        <v>0</v>
      </c>
      <c r="V10" s="70">
        <f t="shared" si="1"/>
        <v>0</v>
      </c>
      <c r="W10" s="67">
        <f t="shared" si="1"/>
        <v>0.16874254319999996</v>
      </c>
    </row>
    <row r="11" spans="1:23" x14ac:dyDescent="0.35">
      <c r="D11" s="38"/>
    </row>
    <row r="12" spans="1:23" x14ac:dyDescent="0.35">
      <c r="C12" s="100">
        <f>SUM(C14:C34)</f>
        <v>0.9998999999999999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</row>
    <row r="13" spans="1:23" s="9" customFormat="1" ht="29" x14ac:dyDescent="0.35">
      <c r="B13" s="9" t="s">
        <v>0</v>
      </c>
      <c r="C13" s="9" t="s">
        <v>41</v>
      </c>
      <c r="D13" s="9" t="s">
        <v>42</v>
      </c>
      <c r="E13" s="9" t="s">
        <v>43</v>
      </c>
      <c r="F13" s="9" t="s">
        <v>5</v>
      </c>
      <c r="G13" s="71" t="s">
        <v>6</v>
      </c>
      <c r="H13" s="71" t="s">
        <v>7</v>
      </c>
      <c r="I13" s="71" t="s">
        <v>8</v>
      </c>
      <c r="J13" s="71" t="s">
        <v>9</v>
      </c>
      <c r="K13" s="71" t="s">
        <v>10</v>
      </c>
      <c r="L13" s="71" t="s">
        <v>11</v>
      </c>
      <c r="M13" s="71" t="s">
        <v>12</v>
      </c>
      <c r="N13" s="71" t="s">
        <v>13</v>
      </c>
      <c r="O13" s="71" t="s">
        <v>14</v>
      </c>
      <c r="P13" s="71" t="s">
        <v>15</v>
      </c>
      <c r="Q13" s="71" t="s">
        <v>16</v>
      </c>
      <c r="R13" s="71" t="s">
        <v>17</v>
      </c>
      <c r="S13" s="71" t="s">
        <v>18</v>
      </c>
      <c r="T13" s="71" t="s">
        <v>19</v>
      </c>
      <c r="U13" s="71" t="s">
        <v>20</v>
      </c>
      <c r="V13" s="71" t="s">
        <v>21</v>
      </c>
      <c r="W13" s="71" t="s">
        <v>22</v>
      </c>
    </row>
    <row r="14" spans="1:23" x14ac:dyDescent="0.35">
      <c r="A14">
        <v>1</v>
      </c>
      <c r="B14" s="14" t="s">
        <v>23</v>
      </c>
      <c r="C14" s="121">
        <v>0.56259999999999999</v>
      </c>
      <c r="D14" s="17">
        <f>C14*$C$7</f>
        <v>3.7131599999999998</v>
      </c>
      <c r="E14" s="36">
        <f>VLOOKUP($B14,Ingredients!$A:$W,5,FALSE)*$D14/100</f>
        <v>13.39708128</v>
      </c>
      <c r="F14" s="36">
        <f>VLOOKUP($B14,Ingredients!$A:$W,6,FALSE)*$D14/100</f>
        <v>0.16048277519999998</v>
      </c>
      <c r="G14" s="67">
        <f>VLOOKUP($B14,Ingredients!$A:$W,7,FALSE)*$D14/100</f>
        <v>3.7502915999999997E-2</v>
      </c>
      <c r="H14" s="67">
        <f>VLOOKUP($B14,Ingredients!$A:$W,8,FALSE)*$D14/100</f>
        <v>6.1638455999999996E-3</v>
      </c>
      <c r="I14" s="67">
        <f>VLOOKUP($B14,Ingredients!$A:$W,9,FALSE)*$D14/100</f>
        <v>0</v>
      </c>
      <c r="J14" s="68">
        <f>VLOOKUP($B14,Ingredients!$A:$W,10,FALSE)*$D14/100</f>
        <v>0</v>
      </c>
      <c r="K14" s="67">
        <f>VLOOKUP($B14,Ingredients!$A:$W,11,FALSE)*$D14/100</f>
        <v>3.2304491999999998</v>
      </c>
      <c r="L14" s="67">
        <f>VLOOKUP($B14,Ingredients!$A:$W,12,FALSE)*$D14/100</f>
        <v>3.11162808</v>
      </c>
      <c r="M14" s="67">
        <f>VLOOKUP($B14,Ingredients!$A:$W,13,FALSE)*$D14/100</f>
        <v>2.6177778000000003</v>
      </c>
      <c r="N14" s="67">
        <f>VLOOKUP($B14,Ingredients!$A:$W,14,FALSE)*$D14/100</f>
        <v>3.7131599999999996E-3</v>
      </c>
      <c r="O14" s="67">
        <f>VLOOKUP($B14,Ingredients!$A:$W,15,FALSE)*$D14/100</f>
        <v>0</v>
      </c>
      <c r="P14" s="73">
        <f>VLOOKUP($B14,Ingredients!$A:$W,16,FALSE)*$D14/100</f>
        <v>0.28962647999999996</v>
      </c>
      <c r="Q14" s="73">
        <f>VLOOKUP($B14,Ingredients!$A:$W,17,FALSE)*$D14/100</f>
        <v>31.4504652</v>
      </c>
      <c r="R14" s="73">
        <f>VLOOKUP($B14,Ingredients!$A:$W,18,FALSE)*$D14/100</f>
        <v>2.6122080599999999</v>
      </c>
      <c r="S14" s="73">
        <f>VLOOKUP($B14,Ingredients!$A:$W,19,FALSE)*$D14/100</f>
        <v>6.5043423719999991</v>
      </c>
      <c r="T14" s="69">
        <f>VLOOKUP($B14,Ingredients!$A:$W,20,FALSE)*$D14/100</f>
        <v>0</v>
      </c>
      <c r="U14" s="68">
        <f>VLOOKUP($B14,Ingredients!$A:$W,21,FALSE)*$D14/100</f>
        <v>0</v>
      </c>
      <c r="V14" s="70">
        <f>VLOOKUP($B14,Ingredients!$A:$W,22,FALSE)*$D14/100</f>
        <v>0</v>
      </c>
      <c r="W14" s="67">
        <f>VLOOKUP($B14,Ingredients!$A:$W,23,FALSE)*$D14/100</f>
        <v>7.8013491599999985E-2</v>
      </c>
    </row>
    <row r="15" spans="1:23" x14ac:dyDescent="0.35">
      <c r="A15">
        <v>2</v>
      </c>
      <c r="B15" s="14" t="s">
        <v>24</v>
      </c>
      <c r="C15" s="121">
        <v>0.3211</v>
      </c>
      <c r="D15" s="17">
        <f t="shared" ref="D15:D18" si="2">C15*$C$7</f>
        <v>2.1192599999999997</v>
      </c>
      <c r="E15" s="36">
        <f>VLOOKUP($B15,Ingredients!$A:$W,5,FALSE)*$D15/100</f>
        <v>8.0108027999999987</v>
      </c>
      <c r="F15" s="36">
        <f>VLOOKUP($B15,Ingredients!$A:$W,6,FALSE)*$D15/100</f>
        <v>0</v>
      </c>
      <c r="G15" s="67">
        <f>VLOOKUP($B15,Ingredients!$A:$W,7,FALSE)*$D15/100</f>
        <v>0</v>
      </c>
      <c r="H15" s="67">
        <f>VLOOKUP($B15,Ingredients!$A:$W,8,FALSE)*$D15/100</f>
        <v>0</v>
      </c>
      <c r="I15" s="67">
        <f>VLOOKUP($B15,Ingredients!$A:$W,9,FALSE)*$D15/100</f>
        <v>0</v>
      </c>
      <c r="J15" s="68">
        <f>VLOOKUP($B15,Ingredients!$A:$W,10,FALSE)*$D15/100</f>
        <v>0</v>
      </c>
      <c r="K15" s="67">
        <f>VLOOKUP($B15,Ingredients!$A:$W,11,FALSE)*$D15/100</f>
        <v>1.9963429199999998</v>
      </c>
      <c r="L15" s="67">
        <f>VLOOKUP($B15,Ingredients!$A:$W,12,FALSE)*$D15/100</f>
        <v>0</v>
      </c>
      <c r="M15" s="67">
        <f>VLOOKUP($B15,Ingredients!$A:$W,13,FALSE)*$D15/100</f>
        <v>0</v>
      </c>
      <c r="N15" s="67">
        <f>VLOOKUP($B15,Ingredients!$A:$W,14,FALSE)*$D15/100</f>
        <v>7.4174099999999979E-2</v>
      </c>
      <c r="O15" s="67">
        <f>VLOOKUP($B15,Ingredients!$A:$W,15,FALSE)*$D15/100</f>
        <v>0</v>
      </c>
      <c r="P15" s="73">
        <f>VLOOKUP($B15,Ingredients!$A:$W,16,FALSE)*$D15/100</f>
        <v>1.0596299999999998E-2</v>
      </c>
      <c r="Q15" s="73">
        <f>VLOOKUP($B15,Ingredients!$A:$W,17,FALSE)*$D15/100</f>
        <v>0</v>
      </c>
      <c r="R15" s="73">
        <f>VLOOKUP($B15,Ingredients!$A:$W,18,FALSE)*$D15/100</f>
        <v>3.1788899999999995</v>
      </c>
      <c r="S15" s="73">
        <f>VLOOKUP($B15,Ingredients!$A:$W,19,FALSE)*$D15/100</f>
        <v>0.21192599999999998</v>
      </c>
      <c r="T15" s="69">
        <f>VLOOKUP($B15,Ingredients!$A:$W,20,FALSE)*$D15/100</f>
        <v>0</v>
      </c>
      <c r="U15" s="68">
        <f>VLOOKUP($B15,Ingredients!$A:$W,21,FALSE)*$D15/100</f>
        <v>0</v>
      </c>
      <c r="V15" s="70">
        <f>VLOOKUP($B15,Ingredients!$A:$W,22,FALSE)*$D15/100</f>
        <v>0</v>
      </c>
      <c r="W15" s="67">
        <f>VLOOKUP($B15,Ingredients!$A:$W,23,FALSE)*$D15/100</f>
        <v>6.3577799999999986E-3</v>
      </c>
    </row>
    <row r="16" spans="1:23" x14ac:dyDescent="0.35">
      <c r="A16">
        <v>3</v>
      </c>
      <c r="B16" s="14" t="s">
        <v>26</v>
      </c>
      <c r="C16" s="121">
        <v>8.5400000000000004E-2</v>
      </c>
      <c r="D16" s="17">
        <f t="shared" si="2"/>
        <v>0.56364000000000003</v>
      </c>
      <c r="E16" s="36">
        <f>VLOOKUP($B16,Ingredients!$A:$W,5,FALSE)*$D16/100</f>
        <v>1.3921908000000003</v>
      </c>
      <c r="F16" s="36">
        <f>VLOOKUP($B16,Ingredients!$A:$W,6,FALSE)*$D16/100</f>
        <v>0</v>
      </c>
      <c r="G16" s="67">
        <f>VLOOKUP($B16,Ingredients!$A:$W,7,FALSE)*$D16/100</f>
        <v>0</v>
      </c>
      <c r="H16" s="67">
        <f>VLOOKUP($B16,Ingredients!$A:$W,8,FALSE)*$D16/100</f>
        <v>0</v>
      </c>
      <c r="I16" s="67">
        <f>VLOOKUP($B16,Ingredients!$A:$W,9,FALSE)*$D16/100</f>
        <v>0</v>
      </c>
      <c r="J16" s="68">
        <f>VLOOKUP($B16,Ingredients!$A:$W,10,FALSE)*$D16/100</f>
        <v>0</v>
      </c>
      <c r="K16" s="67">
        <f>VLOOKUP($B16,Ingredients!$A:$W,11,FALSE)*$D16/100</f>
        <v>0.56053998000000005</v>
      </c>
      <c r="L16" s="67">
        <f>VLOOKUP($B16,Ingredients!$A:$W,12,FALSE)*$D16/100</f>
        <v>0</v>
      </c>
      <c r="M16" s="67">
        <f>VLOOKUP($B16,Ingredients!$A:$W,13,FALSE)*$D16/100</f>
        <v>0</v>
      </c>
      <c r="N16" s="67">
        <f>VLOOKUP($B16,Ingredients!$A:$W,14,FALSE)*$D16/100</f>
        <v>0</v>
      </c>
      <c r="O16" s="67">
        <f>VLOOKUP($B16,Ingredients!$A:$W,15,FALSE)*$D16/100</f>
        <v>0</v>
      </c>
      <c r="P16" s="73">
        <f>VLOOKUP($B16,Ingredients!$A:$W,16,FALSE)*$D16/100</f>
        <v>0</v>
      </c>
      <c r="Q16" s="73">
        <f>VLOOKUP($B16,Ingredients!$A:$W,17,FALSE)*$D16/100</f>
        <v>1.6909199999999998E-3</v>
      </c>
      <c r="R16" s="73">
        <f>VLOOKUP($B16,Ingredients!$A:$W,18,FALSE)*$D16/100</f>
        <v>1.6909199999999998E-3</v>
      </c>
      <c r="S16" s="73">
        <f>VLOOKUP($B16,Ingredients!$A:$W,19,FALSE)*$D16/100</f>
        <v>1.12728E-3</v>
      </c>
      <c r="T16" s="69">
        <f>VLOOKUP($B16,Ingredients!$A:$W,20,FALSE)*$D16/100</f>
        <v>0</v>
      </c>
      <c r="U16" s="68">
        <f>VLOOKUP($B16,Ingredients!$A:$W,21,FALSE)*$D16/100</f>
        <v>0</v>
      </c>
      <c r="V16" s="70">
        <f>VLOOKUP($B16,Ingredients!$A:$W,22,FALSE)*$D16/100</f>
        <v>0</v>
      </c>
      <c r="W16" s="67">
        <f>VLOOKUP($B16,Ingredients!$A:$W,23,FALSE)*$D16/100</f>
        <v>0</v>
      </c>
    </row>
    <row r="17" spans="1:23" x14ac:dyDescent="0.35">
      <c r="A17">
        <v>4</v>
      </c>
      <c r="B17" s="14" t="s">
        <v>27</v>
      </c>
      <c r="C17" s="122">
        <v>7.4999999999999997E-3</v>
      </c>
      <c r="D17" s="17">
        <f t="shared" si="2"/>
        <v>4.9499999999999995E-2</v>
      </c>
      <c r="E17" s="36">
        <f>VLOOKUP($B17,Ingredients!$A:$W,5,FALSE)*$D17/100</f>
        <v>0</v>
      </c>
      <c r="F17" s="36">
        <f>VLOOKUP($B17,Ingredients!$A:$W,6,FALSE)*$D17/100</f>
        <v>0</v>
      </c>
      <c r="G17" s="67">
        <f>VLOOKUP($B17,Ingredients!$A:$W,7,FALSE)*$D17/100</f>
        <v>0</v>
      </c>
      <c r="H17" s="67">
        <f>VLOOKUP($B17,Ingredients!$A:$W,8,FALSE)*$D17/100</f>
        <v>0</v>
      </c>
      <c r="I17" s="67">
        <f>VLOOKUP($B17,Ingredients!$A:$W,9,FALSE)*$D17/100</f>
        <v>0</v>
      </c>
      <c r="J17" s="68">
        <f>VLOOKUP($B17,Ingredients!$A:$W,10,FALSE)*$D17/100</f>
        <v>0</v>
      </c>
      <c r="K17" s="67">
        <f>VLOOKUP($B17,Ingredients!$A:$W,11,FALSE)*$D17/100</f>
        <v>0</v>
      </c>
      <c r="L17" s="67">
        <f>VLOOKUP($B17,Ingredients!$A:$W,12,FALSE)*$D17/100</f>
        <v>0</v>
      </c>
      <c r="M17" s="67">
        <f>VLOOKUP($B17,Ingredients!$A:$W,13,FALSE)*$D17/100</f>
        <v>0</v>
      </c>
      <c r="N17" s="67">
        <f>VLOOKUP($B17,Ingredients!$A:$W,14,FALSE)*$D17/100</f>
        <v>0</v>
      </c>
      <c r="O17" s="67">
        <f>VLOOKUP($B17,Ingredients!$A:$W,15,FALSE)*$D17/100</f>
        <v>0</v>
      </c>
      <c r="P17" s="73">
        <f>VLOOKUP($B17,Ingredients!$A:$W,16,FALSE)*$D17/100</f>
        <v>7.9199999999999995E-4</v>
      </c>
      <c r="Q17" s="73">
        <f>VLOOKUP($B17,Ingredients!$A:$W,17,FALSE)*$D17/100</f>
        <v>1.98E-3</v>
      </c>
      <c r="R17" s="73">
        <f>VLOOKUP($B17,Ingredients!$A:$W,18,FALSE)*$D17/100</f>
        <v>7.4249999999999993E-3</v>
      </c>
      <c r="S17" s="73">
        <f>VLOOKUP($B17,Ingredients!$A:$W,19,FALSE)*$D17/100</f>
        <v>0</v>
      </c>
      <c r="T17" s="69">
        <f>VLOOKUP($B17,Ingredients!$A:$W,20,FALSE)*$D17/100</f>
        <v>0</v>
      </c>
      <c r="U17" s="68">
        <f>VLOOKUP($B17,Ingredients!$A:$W,21,FALSE)*$D17/100</f>
        <v>0</v>
      </c>
      <c r="V17" s="70">
        <f>VLOOKUP($B17,Ingredients!$A:$W,22,FALSE)*$D17/100</f>
        <v>0</v>
      </c>
      <c r="W17" s="67">
        <f>VLOOKUP($B17,Ingredients!$A:$W,23,FALSE)*$D17/100</f>
        <v>0</v>
      </c>
    </row>
    <row r="18" spans="1:23" ht="16.399999999999999" customHeight="1" x14ac:dyDescent="0.35">
      <c r="A18">
        <v>5</v>
      </c>
      <c r="B18" s="14" t="s">
        <v>225</v>
      </c>
      <c r="C18" s="122">
        <v>2.3300000000000001E-2</v>
      </c>
      <c r="D18" s="17">
        <f t="shared" si="2"/>
        <v>0.15378</v>
      </c>
      <c r="E18" s="36">
        <f>VLOOKUP($B18,Ingredients!$A:$W,5,FALSE)*$D18/100</f>
        <v>0.58436399999999999</v>
      </c>
      <c r="F18" s="36">
        <f>VLOOKUP($B18,Ingredients!$A:$W,6,FALSE)*$D18/100</f>
        <v>0</v>
      </c>
      <c r="G18" s="67">
        <f>VLOOKUP($B18,Ingredients!$A:$W,7,FALSE)*$D18/100</f>
        <v>0</v>
      </c>
      <c r="H18" s="67">
        <f>VLOOKUP($B18,Ingredients!$A:$W,8,FALSE)*$D18/100</f>
        <v>0</v>
      </c>
      <c r="I18" s="67">
        <f>VLOOKUP($B18,Ingredients!$A:$W,9,FALSE)*$D18/100</f>
        <v>0</v>
      </c>
      <c r="J18" s="68">
        <f>VLOOKUP($B18,Ingredients!$A:$W,10,FALSE)*$D18/100</f>
        <v>0</v>
      </c>
      <c r="K18" s="67">
        <f>VLOOKUP($B18,Ingredients!$A:$W,11,FALSE)*$D18/100</f>
        <v>0.1476288</v>
      </c>
      <c r="L18" s="67">
        <f>VLOOKUP($B18,Ingredients!$A:$W,12,FALSE)*$D18/100</f>
        <v>0</v>
      </c>
      <c r="M18" s="67">
        <f>VLOOKUP($B18,Ingredients!$A:$W,13,FALSE)*$D18/100</f>
        <v>0</v>
      </c>
      <c r="N18" s="67">
        <f>VLOOKUP($B18,Ingredients!$A:$W,14,FALSE)*$D18/100</f>
        <v>4.3058399999999997E-2</v>
      </c>
      <c r="O18" s="67">
        <f>VLOOKUP($B18,Ingredients!$A:$W,15,FALSE)*$D18/100</f>
        <v>4.3058399999999997E-2</v>
      </c>
      <c r="P18" s="73">
        <f>VLOOKUP($B18,Ingredients!$A:$W,16,FALSE)*$D18/100</f>
        <v>0</v>
      </c>
      <c r="Q18" s="73">
        <f>VLOOKUP($B18,Ingredients!$A:$W,17,FALSE)*$D18/100</f>
        <v>0</v>
      </c>
      <c r="R18" s="73">
        <f>VLOOKUP($B18,Ingredients!$A:$W,18,FALSE)*$D18/100</f>
        <v>8.4579000000000001E-2</v>
      </c>
      <c r="S18" s="73">
        <f>VLOOKUP($B18,Ingredients!$A:$W,19,FALSE)*$D18/100</f>
        <v>1.5378000000000001E-2</v>
      </c>
      <c r="T18" s="69">
        <f>VLOOKUP($B18,Ingredients!$A:$W,20,FALSE)*$D18/100</f>
        <v>0</v>
      </c>
      <c r="U18" s="68">
        <f>VLOOKUP($B18,Ingredients!$A:$W,21,FALSE)*$D18/100</f>
        <v>0</v>
      </c>
      <c r="V18" s="70">
        <f>VLOOKUP($B18,Ingredients!$A:$W,22,FALSE)*$D18/100</f>
        <v>0</v>
      </c>
      <c r="W18" s="67">
        <f>VLOOKUP($B18,Ingredients!$A:$W,23,FALSE)*$D18/100</f>
        <v>0</v>
      </c>
    </row>
    <row r="19" spans="1:23" x14ac:dyDescent="0.35">
      <c r="A19">
        <v>6</v>
      </c>
      <c r="B19" s="14"/>
      <c r="C19" s="122"/>
      <c r="D19" s="17"/>
      <c r="E19" s="36"/>
      <c r="F19" s="36"/>
      <c r="G19" s="67"/>
      <c r="H19" s="67"/>
      <c r="I19" s="67"/>
      <c r="J19" s="68"/>
      <c r="K19" s="67"/>
      <c r="L19" s="67"/>
      <c r="M19" s="67"/>
      <c r="N19" s="67"/>
      <c r="O19" s="67"/>
      <c r="P19" s="73"/>
      <c r="Q19" s="73"/>
      <c r="R19" s="73"/>
      <c r="S19" s="73"/>
      <c r="T19" s="69"/>
      <c r="U19" s="68"/>
      <c r="V19" s="70"/>
      <c r="W19" s="67"/>
    </row>
    <row r="20" spans="1:23" x14ac:dyDescent="0.35">
      <c r="A20">
        <v>7</v>
      </c>
      <c r="B20" s="14"/>
      <c r="C20" s="122"/>
      <c r="D20" s="17"/>
      <c r="E20" s="36"/>
      <c r="F20" s="36"/>
      <c r="G20" s="67"/>
      <c r="H20" s="67"/>
      <c r="I20" s="67"/>
      <c r="J20" s="68"/>
      <c r="K20" s="67"/>
      <c r="L20" s="67"/>
      <c r="M20" s="67"/>
      <c r="N20" s="67"/>
      <c r="O20" s="67"/>
      <c r="P20" s="73"/>
      <c r="Q20" s="73"/>
      <c r="R20" s="73"/>
      <c r="S20" s="73"/>
      <c r="T20" s="69"/>
      <c r="U20" s="68"/>
      <c r="V20" s="70"/>
      <c r="W20" s="67"/>
    </row>
    <row r="21" spans="1:23" x14ac:dyDescent="0.35">
      <c r="A21">
        <v>8</v>
      </c>
      <c r="B21" s="14"/>
      <c r="C21" s="35"/>
      <c r="D21" s="17"/>
      <c r="E21" s="36"/>
      <c r="F21" s="36"/>
      <c r="G21" s="67"/>
      <c r="H21" s="67"/>
      <c r="I21" s="67"/>
      <c r="J21" s="68"/>
      <c r="K21" s="67"/>
      <c r="L21" s="67"/>
      <c r="M21" s="67"/>
      <c r="N21" s="67"/>
      <c r="O21" s="67"/>
      <c r="P21" s="73"/>
      <c r="Q21" s="73"/>
      <c r="R21" s="73"/>
      <c r="S21" s="73"/>
      <c r="T21" s="69"/>
      <c r="U21" s="68"/>
      <c r="V21" s="70"/>
      <c r="W21" s="67"/>
    </row>
    <row r="22" spans="1:23" x14ac:dyDescent="0.35">
      <c r="A22">
        <v>9</v>
      </c>
      <c r="B22" s="14"/>
      <c r="C22" s="35"/>
      <c r="D22" s="17"/>
      <c r="E22" s="36"/>
      <c r="F22" s="36"/>
      <c r="G22" s="67"/>
      <c r="H22" s="67"/>
      <c r="I22" s="67"/>
      <c r="J22" s="68"/>
      <c r="K22" s="67"/>
      <c r="L22" s="67"/>
      <c r="M22" s="67"/>
      <c r="N22" s="67"/>
      <c r="O22" s="67"/>
      <c r="P22" s="73"/>
      <c r="Q22" s="73"/>
      <c r="R22" s="73"/>
      <c r="S22" s="73"/>
      <c r="T22" s="69"/>
      <c r="U22" s="68"/>
      <c r="V22" s="70"/>
      <c r="W22" s="67"/>
    </row>
    <row r="23" spans="1:23" x14ac:dyDescent="0.35">
      <c r="A23">
        <v>10</v>
      </c>
      <c r="B23" s="14"/>
      <c r="C23" s="13"/>
      <c r="D23" s="17"/>
      <c r="E23" s="36"/>
      <c r="F23" s="36"/>
      <c r="G23" s="67"/>
      <c r="H23" s="67"/>
      <c r="I23" s="67"/>
      <c r="J23" s="68"/>
      <c r="K23" s="67"/>
      <c r="L23" s="67"/>
      <c r="M23" s="67"/>
      <c r="N23" s="67"/>
      <c r="O23" s="67"/>
      <c r="P23" s="73"/>
      <c r="Q23" s="73"/>
      <c r="R23" s="73"/>
      <c r="S23" s="73"/>
      <c r="T23" s="69"/>
      <c r="U23" s="68"/>
      <c r="V23" s="70"/>
      <c r="W23" s="67"/>
    </row>
    <row r="24" spans="1:23" x14ac:dyDescent="0.35">
      <c r="A24">
        <v>11</v>
      </c>
      <c r="B24" s="14"/>
      <c r="C24" s="13"/>
      <c r="D24" s="17"/>
      <c r="E24" s="36"/>
      <c r="F24" s="36"/>
      <c r="G24" s="67"/>
      <c r="H24" s="67"/>
      <c r="I24" s="67"/>
      <c r="J24" s="68"/>
      <c r="K24" s="67"/>
      <c r="L24" s="67"/>
      <c r="M24" s="67"/>
      <c r="N24" s="67"/>
      <c r="O24" s="67"/>
      <c r="P24" s="73"/>
      <c r="Q24" s="73"/>
      <c r="R24" s="73"/>
      <c r="S24" s="73"/>
      <c r="T24" s="69"/>
      <c r="U24" s="68"/>
      <c r="V24" s="70"/>
      <c r="W24" s="67"/>
    </row>
    <row r="25" spans="1:23" x14ac:dyDescent="0.35">
      <c r="A25">
        <v>12</v>
      </c>
      <c r="B25" s="14"/>
      <c r="C25" s="13"/>
      <c r="D25" s="17"/>
      <c r="E25" s="36"/>
      <c r="F25" s="36"/>
      <c r="G25" s="67"/>
      <c r="H25" s="67"/>
      <c r="I25" s="67"/>
      <c r="J25" s="68"/>
      <c r="K25" s="67"/>
      <c r="L25" s="67"/>
      <c r="M25" s="67"/>
      <c r="N25" s="67"/>
      <c r="O25" s="67"/>
      <c r="P25" s="73"/>
      <c r="Q25" s="73"/>
      <c r="R25" s="73"/>
      <c r="S25" s="73"/>
      <c r="T25" s="69"/>
      <c r="U25" s="68"/>
      <c r="V25" s="70"/>
      <c r="W25" s="67"/>
    </row>
    <row r="26" spans="1:23" x14ac:dyDescent="0.35">
      <c r="A26">
        <v>13</v>
      </c>
      <c r="B26" s="14"/>
      <c r="C26" s="13"/>
      <c r="D26" s="17"/>
      <c r="E26" s="36"/>
      <c r="F26" s="36"/>
      <c r="G26" s="67"/>
      <c r="H26" s="67"/>
      <c r="I26" s="67"/>
      <c r="J26" s="68"/>
      <c r="K26" s="67"/>
      <c r="L26" s="67"/>
      <c r="M26" s="67"/>
      <c r="N26" s="67"/>
      <c r="O26" s="67"/>
      <c r="P26" s="73"/>
      <c r="Q26" s="73"/>
      <c r="R26" s="73"/>
      <c r="S26" s="73"/>
      <c r="T26" s="69"/>
      <c r="U26" s="68"/>
      <c r="V26" s="70"/>
      <c r="W26" s="67"/>
    </row>
    <row r="27" spans="1:23" x14ac:dyDescent="0.35">
      <c r="A27">
        <v>14</v>
      </c>
      <c r="B27" s="14"/>
      <c r="C27" s="13"/>
      <c r="D27" s="17"/>
      <c r="E27" s="36"/>
      <c r="F27" s="36"/>
      <c r="G27" s="67"/>
      <c r="H27" s="67"/>
      <c r="I27" s="67"/>
      <c r="J27" s="68"/>
      <c r="K27" s="67"/>
      <c r="L27" s="67"/>
      <c r="M27" s="67"/>
      <c r="N27" s="67"/>
      <c r="O27" s="67"/>
      <c r="P27" s="73"/>
      <c r="Q27" s="73"/>
      <c r="R27" s="73"/>
      <c r="S27" s="73"/>
      <c r="T27" s="69"/>
      <c r="U27" s="68"/>
      <c r="V27" s="70"/>
      <c r="W27" s="67"/>
    </row>
    <row r="28" spans="1:23" x14ac:dyDescent="0.35">
      <c r="A28">
        <v>15</v>
      </c>
      <c r="B28" s="14"/>
      <c r="C28" s="13"/>
      <c r="D28" s="17"/>
      <c r="E28" s="36"/>
      <c r="F28" s="36"/>
      <c r="G28" s="67"/>
      <c r="H28" s="67"/>
      <c r="I28" s="67"/>
      <c r="J28" s="68"/>
      <c r="K28" s="67"/>
      <c r="L28" s="67"/>
      <c r="M28" s="67"/>
      <c r="N28" s="67"/>
      <c r="O28" s="67"/>
      <c r="P28" s="73"/>
      <c r="Q28" s="73"/>
      <c r="R28" s="73"/>
      <c r="S28" s="73"/>
      <c r="T28" s="69"/>
      <c r="U28" s="68"/>
      <c r="V28" s="70"/>
      <c r="W28" s="67"/>
    </row>
    <row r="29" spans="1:23" x14ac:dyDescent="0.35">
      <c r="A29">
        <v>16</v>
      </c>
      <c r="B29" s="14"/>
      <c r="C29" s="13"/>
      <c r="D29" s="17"/>
      <c r="E29" s="15"/>
      <c r="F29" s="15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</row>
    <row r="30" spans="1:23" x14ac:dyDescent="0.35">
      <c r="A30">
        <v>17</v>
      </c>
      <c r="B30" s="14"/>
      <c r="C30" s="13"/>
      <c r="D30" s="17"/>
      <c r="E30" s="15"/>
      <c r="F30" s="15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</row>
    <row r="31" spans="1:23" x14ac:dyDescent="0.35">
      <c r="A31">
        <v>18</v>
      </c>
      <c r="B31" s="14"/>
      <c r="C31" s="13"/>
      <c r="D31" s="17"/>
      <c r="E31" s="15"/>
      <c r="F31" s="15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</row>
    <row r="32" spans="1:23" x14ac:dyDescent="0.35">
      <c r="A32">
        <v>19</v>
      </c>
      <c r="B32" s="14"/>
      <c r="C32" s="13"/>
      <c r="D32" s="17"/>
      <c r="E32" s="15"/>
      <c r="F32" s="15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</row>
    <row r="33" spans="1:23" x14ac:dyDescent="0.35">
      <c r="A33">
        <v>20</v>
      </c>
      <c r="B33" s="14"/>
      <c r="C33" s="13"/>
      <c r="D33" s="17"/>
      <c r="E33" s="15"/>
      <c r="F33" s="15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</row>
    <row r="34" spans="1:23" x14ac:dyDescent="0.35">
      <c r="A34">
        <v>21</v>
      </c>
      <c r="B34" s="14"/>
      <c r="C34" s="13"/>
      <c r="D34" s="17"/>
      <c r="E34" s="15"/>
      <c r="F34" s="15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</row>
  </sheetData>
  <mergeCells count="1">
    <mergeCell ref="E9:W9"/>
  </mergeCells>
  <pageMargins left="0.7" right="0.7" top="0.75" bottom="0.75" header="0.3" footer="0.3"/>
  <pageSetup orientation="portrait" r:id="rId1"/>
  <headerFooter>
    <oddHeader>&amp;R&amp;"Calibri"&amp;10&amp;K000000Highly Restricted&amp;1#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A624D2A-C911-49B4-A25C-AB4F2411D78E}">
          <x14:formula1>
            <xm:f>Ingredients!$A$3:$A$1048576</xm:f>
          </x14:formula1>
          <xm:sqref>B14:B34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55AB9-08EC-43E6-B783-33EB137819CB}">
  <dimension ref="A1:K71"/>
  <sheetViews>
    <sheetView topLeftCell="A27" zoomScaleNormal="100" workbookViewId="0">
      <selection activeCell="C42" sqref="C42"/>
    </sheetView>
  </sheetViews>
  <sheetFormatPr defaultColWidth="9.1796875" defaultRowHeight="14.5" x14ac:dyDescent="0.35"/>
  <cols>
    <col min="1" max="1" width="17.453125" bestFit="1" customWidth="1"/>
    <col min="2" max="2" width="9.453125" customWidth="1"/>
    <col min="3" max="3" width="30.54296875" bestFit="1" customWidth="1"/>
    <col min="4" max="4" width="33" customWidth="1"/>
    <col min="5" max="5" width="31.54296875" bestFit="1" customWidth="1"/>
    <col min="6" max="6" width="26.453125" customWidth="1"/>
    <col min="7" max="7" width="27.1796875" customWidth="1"/>
    <col min="8" max="8" width="23.54296875" customWidth="1"/>
    <col min="9" max="9" width="6.81640625" bestFit="1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.81640625" bestFit="1" customWidth="1"/>
    <col min="14" max="14" width="8.1796875" bestFit="1" customWidth="1"/>
    <col min="15" max="15" width="9.453125" bestFit="1" customWidth="1"/>
    <col min="16" max="16" width="8.1796875" bestFit="1" customWidth="1"/>
    <col min="17" max="17" width="7.54296875" bestFit="1" customWidth="1"/>
  </cols>
  <sheetData>
    <row r="1" spans="1:9" x14ac:dyDescent="0.35">
      <c r="A1" s="13" t="s">
        <v>36</v>
      </c>
      <c r="C1" s="42"/>
    </row>
    <row r="2" spans="1:9" x14ac:dyDescent="0.35">
      <c r="A2" t="s">
        <v>94</v>
      </c>
      <c r="B2" s="13" t="s">
        <v>267</v>
      </c>
      <c r="D2" t="str">
        <f>A2&amp;" "&amp; B2</f>
        <v>Formulation Saguaro</v>
      </c>
      <c r="G2" cm="1">
        <f t="array" aca="1" ref="G2" ca="1">INDIRECT("'"&amp;D2&amp;"'!C7")</f>
        <v>6.6</v>
      </c>
      <c r="H2" t="s">
        <v>46</v>
      </c>
      <c r="I2" t="s">
        <v>99</v>
      </c>
    </row>
    <row r="3" spans="1:9" x14ac:dyDescent="0.35">
      <c r="A3" t="str">
        <f>'Formulation STOF2'!B6</f>
        <v>Smooth Texture Sugar Free Orange Natural Dyes</v>
      </c>
      <c r="D3" t="s">
        <v>44</v>
      </c>
      <c r="E3" t="s">
        <v>45</v>
      </c>
      <c r="G3" s="27" cm="1">
        <f t="array" aca="1" ref="G3" ca="1">INDIRECT("'"&amp;D2&amp;"'!D6")</f>
        <v>11.654400000000001</v>
      </c>
      <c r="H3" t="s">
        <v>46</v>
      </c>
      <c r="I3" t="s">
        <v>100</v>
      </c>
    </row>
    <row r="5" spans="1:9" ht="15.5" x14ac:dyDescent="0.35">
      <c r="A5" s="146" t="s">
        <v>104</v>
      </c>
      <c r="B5" t="s">
        <v>101</v>
      </c>
      <c r="C5" s="18">
        <f ca="1">(4*F24)+(4*C10)+(9*C31)</f>
        <v>24.414854930399997</v>
      </c>
      <c r="D5" s="50" t="s">
        <v>95</v>
      </c>
      <c r="E5" s="74" t="s">
        <v>96</v>
      </c>
      <c r="F5" s="74" t="s">
        <v>98</v>
      </c>
    </row>
    <row r="6" spans="1:9" ht="15.5" x14ac:dyDescent="0.35">
      <c r="A6" s="146"/>
      <c r="B6" t="s">
        <v>102</v>
      </c>
      <c r="C6" s="18">
        <f ca="1">(4*F24)+(9*C31)+(4*(C10-D10))+(2*D10)</f>
        <v>18.191598770399999</v>
      </c>
      <c r="D6" s="50" t="s">
        <v>95</v>
      </c>
      <c r="E6" s="74" t="s">
        <v>97</v>
      </c>
      <c r="F6" s="74" t="s">
        <v>115</v>
      </c>
    </row>
    <row r="7" spans="1:9" ht="15.5" x14ac:dyDescent="0.35">
      <c r="A7" s="146"/>
      <c r="B7" t="s">
        <v>103</v>
      </c>
      <c r="C7" s="18">
        <f ca="1">(4*F24)+(9*C31)+(4*(C10-D10))+(2*E10)</f>
        <v>17.203898210399998</v>
      </c>
      <c r="D7" s="50" t="s">
        <v>95</v>
      </c>
      <c r="E7" s="74" t="s">
        <v>97</v>
      </c>
      <c r="F7" s="74" t="s">
        <v>116</v>
      </c>
    </row>
    <row r="8" spans="1:9" s="51" customFormat="1" ht="7" customHeight="1" x14ac:dyDescent="0.35">
      <c r="C8" s="52"/>
      <c r="D8" s="53"/>
      <c r="E8" s="53"/>
    </row>
    <row r="9" spans="1:9" ht="30" customHeight="1" x14ac:dyDescent="0.35">
      <c r="A9" s="150" t="s">
        <v>49</v>
      </c>
      <c r="B9" s="18"/>
      <c r="C9" s="49" t="str" cm="1">
        <f t="array" aca="1" ref="C9" ca="1">INDIRECT("'"&amp;D2&amp;"'!K13")</f>
        <v>Total carbohydrate</v>
      </c>
      <c r="D9" s="49" t="str" cm="1">
        <f t="array" aca="1" ref="D9" ca="1">INDIRECT("'"&amp;D2&amp;"'!L13")</f>
        <v>Total dietary fiber</v>
      </c>
      <c r="E9" s="49" t="str" cm="1">
        <f t="array" aca="1" ref="E9" ca="1">INDIRECT("'"&amp;D2&amp;"'!M13")</f>
        <v>Soluble fiber</v>
      </c>
    </row>
    <row r="10" spans="1:9" x14ac:dyDescent="0.35">
      <c r="A10" s="150"/>
      <c r="B10" s="18" t="s">
        <v>50</v>
      </c>
      <c r="C10" s="21" cm="1">
        <f t="array" aca="1" ref="C10" ca="1">INDIRECT("'"&amp;D2&amp;"'!K8")</f>
        <v>5.9349608999999992</v>
      </c>
      <c r="D10" s="21" cm="1">
        <f t="array" aca="1" ref="D10" ca="1">INDIRECT("'"&amp;D2&amp;"'!L8")</f>
        <v>3.11162808</v>
      </c>
      <c r="E10" s="21" cm="1">
        <f t="array" aca="1" ref="E10" ca="1">INDIRECT("'"&amp;D2&amp;"'!M8")</f>
        <v>2.6177778000000003</v>
      </c>
    </row>
    <row r="11" spans="1:9" x14ac:dyDescent="0.35">
      <c r="A11" s="150"/>
      <c r="B11" s="18" t="s">
        <v>51</v>
      </c>
      <c r="C11" s="21">
        <v>275</v>
      </c>
      <c r="D11" s="21">
        <v>28</v>
      </c>
      <c r="E11" s="21" t="s">
        <v>52</v>
      </c>
    </row>
    <row r="12" spans="1:9" x14ac:dyDescent="0.35">
      <c r="A12" s="150"/>
      <c r="B12" s="18" t="s">
        <v>53</v>
      </c>
      <c r="C12" s="26">
        <f ca="1">C10/C11</f>
        <v>2.1581675999999998E-2</v>
      </c>
      <c r="D12" s="26">
        <f ca="1">D10/D11</f>
        <v>0.11112957428571428</v>
      </c>
      <c r="E12" s="26" t="s">
        <v>52</v>
      </c>
    </row>
    <row r="13" spans="1:9" ht="127" customHeight="1" x14ac:dyDescent="0.35">
      <c r="A13" s="150"/>
      <c r="B13" s="18"/>
      <c r="C13" s="1" t="s">
        <v>54</v>
      </c>
      <c r="D13" s="1" t="s">
        <v>54</v>
      </c>
      <c r="E13" s="2" t="s">
        <v>55</v>
      </c>
    </row>
    <row r="14" spans="1:9" x14ac:dyDescent="0.35">
      <c r="A14" s="150"/>
      <c r="B14" s="18" t="s">
        <v>56</v>
      </c>
      <c r="C14" s="31" t="s">
        <v>268</v>
      </c>
      <c r="D14" s="31" t="s">
        <v>58</v>
      </c>
      <c r="E14" s="31" t="s">
        <v>58</v>
      </c>
    </row>
    <row r="16" spans="1:9" x14ac:dyDescent="0.35">
      <c r="A16" s="150" t="s">
        <v>49</v>
      </c>
      <c r="B16" s="18"/>
      <c r="C16" s="123" t="s">
        <v>206</v>
      </c>
      <c r="D16" s="123" t="s">
        <v>207</v>
      </c>
      <c r="E16" s="123" t="s">
        <v>208</v>
      </c>
    </row>
    <row r="17" spans="1:6" x14ac:dyDescent="0.35">
      <c r="A17" s="150"/>
      <c r="B17" s="18" t="s">
        <v>50</v>
      </c>
      <c r="C17" s="22" cm="1">
        <f t="array" aca="1" ref="C17" ca="1">INDIRECT("'"&amp;D2&amp;"'!P8")</f>
        <v>0.30101477999999998</v>
      </c>
      <c r="D17" s="22" cm="1">
        <f t="array" aca="1" ref="D17" ca="1">INDIRECT("'"&amp;D2&amp;"'!Q8")</f>
        <v>31.454136120000001</v>
      </c>
      <c r="E17" s="22" cm="1">
        <f t="array" aca="1" ref="E17" ca="1">INDIRECT("'"&amp;D2&amp;"'!S8")</f>
        <v>6.7327736519999997</v>
      </c>
    </row>
    <row r="18" spans="1:6" x14ac:dyDescent="0.35">
      <c r="A18" s="150"/>
      <c r="B18" s="18" t="s">
        <v>51</v>
      </c>
      <c r="C18" s="22">
        <v>18</v>
      </c>
      <c r="D18" s="22">
        <v>4700</v>
      </c>
      <c r="E18" s="22">
        <v>1300</v>
      </c>
    </row>
    <row r="19" spans="1:6" x14ac:dyDescent="0.35">
      <c r="A19" s="150"/>
      <c r="B19" s="18" t="s">
        <v>53</v>
      </c>
      <c r="C19" s="26">
        <f ca="1">C17/C18</f>
        <v>1.6723043333333333E-2</v>
      </c>
      <c r="D19" s="26">
        <f t="shared" ref="D19:E19" ca="1" si="0">D17/D18</f>
        <v>6.6923693872340427E-3</v>
      </c>
      <c r="E19" s="26">
        <f t="shared" ca="1" si="0"/>
        <v>5.1790566553846151E-3</v>
      </c>
    </row>
    <row r="20" spans="1:6" ht="43.5" x14ac:dyDescent="0.35">
      <c r="A20" s="150"/>
      <c r="B20" s="18"/>
      <c r="C20" s="124" t="s">
        <v>209</v>
      </c>
      <c r="D20" s="124" t="s">
        <v>210</v>
      </c>
      <c r="E20" s="124" t="s">
        <v>210</v>
      </c>
    </row>
    <row r="21" spans="1:6" x14ac:dyDescent="0.35">
      <c r="A21" s="150"/>
      <c r="B21" s="18" t="s">
        <v>56</v>
      </c>
      <c r="C21" s="31" t="s">
        <v>140</v>
      </c>
      <c r="D21" s="31" t="s">
        <v>60</v>
      </c>
      <c r="E21" s="31">
        <v>0</v>
      </c>
    </row>
    <row r="23" spans="1:6" x14ac:dyDescent="0.35">
      <c r="A23" s="150" t="s">
        <v>49</v>
      </c>
      <c r="B23" s="18"/>
      <c r="C23" s="18" t="s">
        <v>215</v>
      </c>
      <c r="D23" s="18" t="s">
        <v>216</v>
      </c>
      <c r="E23" s="123" t="s">
        <v>217</v>
      </c>
      <c r="F23" s="18" t="s">
        <v>22</v>
      </c>
    </row>
    <row r="24" spans="1:6" x14ac:dyDescent="0.35">
      <c r="A24" s="150"/>
      <c r="B24" s="18" t="s">
        <v>50</v>
      </c>
      <c r="C24" s="23" cm="1">
        <f t="array" aca="1" ref="C24" ca="1">INDIRECT("'"&amp;D2&amp;"'!T8")</f>
        <v>0</v>
      </c>
      <c r="D24" s="24" cm="1">
        <f t="array" aca="1" ref="D24" ca="1">INDIRECT("'"&amp;D2&amp;"'!U8")</f>
        <v>0</v>
      </c>
      <c r="E24" s="24" cm="1">
        <f t="array" aca="1" ref="E24" ca="1">INDIRECT("'"&amp;D2&amp;"'!V8")</f>
        <v>0</v>
      </c>
      <c r="F24" s="21" cm="1">
        <f t="array" aca="1" ref="F24" ca="1">INDIRECT("'"&amp;D2&amp;"'!W8")</f>
        <v>8.4371271599999978E-2</v>
      </c>
    </row>
    <row r="25" spans="1:6" x14ac:dyDescent="0.35">
      <c r="A25" s="150"/>
      <c r="B25" s="18" t="s">
        <v>51</v>
      </c>
      <c r="C25" s="126" t="s">
        <v>218</v>
      </c>
      <c r="D25" s="126">
        <v>90</v>
      </c>
      <c r="E25" s="126" t="s">
        <v>219</v>
      </c>
      <c r="F25" s="126" t="s">
        <v>52</v>
      </c>
    </row>
    <row r="26" spans="1:6" x14ac:dyDescent="0.35">
      <c r="A26" s="150"/>
      <c r="B26" s="18" t="s">
        <v>53</v>
      </c>
      <c r="C26" s="26" t="s">
        <v>52</v>
      </c>
      <c r="D26" s="26" t="s">
        <v>52</v>
      </c>
      <c r="E26" s="26">
        <f ca="1">E24/20</f>
        <v>0</v>
      </c>
      <c r="F26" s="26" t="s">
        <v>52</v>
      </c>
    </row>
    <row r="27" spans="1:6" ht="87" x14ac:dyDescent="0.35">
      <c r="A27" s="150"/>
      <c r="B27" s="18"/>
      <c r="C27" s="124" t="s">
        <v>211</v>
      </c>
      <c r="D27" s="124" t="s">
        <v>212</v>
      </c>
      <c r="E27" s="124" t="s">
        <v>213</v>
      </c>
      <c r="F27" s="125" t="s">
        <v>214</v>
      </c>
    </row>
    <row r="28" spans="1:6" x14ac:dyDescent="0.35">
      <c r="A28" s="150"/>
      <c r="B28" s="18" t="s">
        <v>56</v>
      </c>
      <c r="C28" s="31" t="s">
        <v>62</v>
      </c>
      <c r="D28" s="31" t="s">
        <v>62</v>
      </c>
      <c r="E28" s="31">
        <v>0</v>
      </c>
      <c r="F28" s="31" t="s">
        <v>63</v>
      </c>
    </row>
    <row r="30" spans="1:6" x14ac:dyDescent="0.35">
      <c r="A30" s="149" t="s">
        <v>64</v>
      </c>
      <c r="B30" s="18"/>
      <c r="C30" s="19" t="s">
        <v>6</v>
      </c>
      <c r="D30" s="19" t="s">
        <v>7</v>
      </c>
      <c r="E30" s="19" t="s">
        <v>8</v>
      </c>
      <c r="F30" s="19" t="s">
        <v>9</v>
      </c>
    </row>
    <row r="31" spans="1:6" x14ac:dyDescent="0.35">
      <c r="A31" s="149"/>
      <c r="B31" s="18" t="s">
        <v>50</v>
      </c>
      <c r="C31" s="21" cm="1">
        <f t="array" aca="1" ref="C31" ca="1">INDIRECT("'"&amp;D2&amp;"'!G8")</f>
        <v>3.7502915999999997E-2</v>
      </c>
      <c r="D31" s="21" cm="1">
        <f t="array" aca="1" ref="D31" ca="1">INDIRECT("'"&amp;D2&amp;"'!H8")</f>
        <v>6.1638455999999996E-3</v>
      </c>
      <c r="E31" s="21" cm="1">
        <f t="array" aca="1" ref="E31" ca="1">INDIRECT("'"&amp;D2&amp;"'!I8")</f>
        <v>0</v>
      </c>
      <c r="F31" s="21" cm="1">
        <f t="array" aca="1" ref="F31" ca="1">INDIRECT("'"&amp;D2&amp;"'!J8")</f>
        <v>0</v>
      </c>
    </row>
    <row r="32" spans="1:6" x14ac:dyDescent="0.35">
      <c r="A32" s="149"/>
      <c r="B32" s="18" t="s">
        <v>51</v>
      </c>
      <c r="C32" s="126">
        <v>78</v>
      </c>
      <c r="D32" s="126">
        <v>20</v>
      </c>
      <c r="E32" s="126" t="s">
        <v>52</v>
      </c>
      <c r="F32" s="126" t="s">
        <v>222</v>
      </c>
    </row>
    <row r="33" spans="1:11" x14ac:dyDescent="0.35">
      <c r="A33" s="149"/>
      <c r="B33" s="18" t="s">
        <v>53</v>
      </c>
      <c r="C33" s="26" t="s">
        <v>52</v>
      </c>
      <c r="D33" s="26" t="s">
        <v>52</v>
      </c>
      <c r="E33" s="26" t="s">
        <v>52</v>
      </c>
      <c r="F33" s="26" t="s">
        <v>52</v>
      </c>
    </row>
    <row r="34" spans="1:11" ht="73.400000000000006" customHeight="1" x14ac:dyDescent="0.35">
      <c r="A34" s="149"/>
      <c r="B34" s="18"/>
      <c r="C34" s="125" t="s">
        <v>220</v>
      </c>
      <c r="D34" s="125" t="s">
        <v>220</v>
      </c>
      <c r="E34" s="125" t="s">
        <v>220</v>
      </c>
      <c r="F34" s="125" t="s">
        <v>221</v>
      </c>
    </row>
    <row r="35" spans="1:11" x14ac:dyDescent="0.35">
      <c r="A35" s="149"/>
      <c r="B35" s="18" t="s">
        <v>56</v>
      </c>
      <c r="C35" s="31" t="s">
        <v>62</v>
      </c>
      <c r="D35" s="31" t="s">
        <v>62</v>
      </c>
      <c r="E35" s="31" t="s">
        <v>62</v>
      </c>
      <c r="F35" s="31" t="s">
        <v>62</v>
      </c>
    </row>
    <row r="37" spans="1:11" ht="30" customHeight="1" x14ac:dyDescent="0.35">
      <c r="A37" s="149" t="s">
        <v>64</v>
      </c>
      <c r="B37" s="18"/>
      <c r="C37" s="20" t="str" cm="1">
        <f t="array" aca="1" ref="C37" ca="1">INDIRECT("'"&amp;D2&amp;"'!E13")</f>
        <v>Calories (US Rules)</v>
      </c>
      <c r="D37" s="19" t="s">
        <v>5</v>
      </c>
      <c r="E37" s="19" t="str" cm="1">
        <f t="array" aca="1" ref="E37" ca="1">INDIRECT("'"&amp;D2&amp;"'!N13")</f>
        <v xml:space="preserve">Sugar </v>
      </c>
      <c r="F37" s="19" t="str" cm="1">
        <f t="array" aca="1" ref="F37" ca="1">INDIRECT("'"&amp;D2&amp;"'!O13")</f>
        <v>Added Sugars</v>
      </c>
      <c r="G37" s="19" t="str" cm="1">
        <f t="array" aca="1" ref="G37" ca="1">INDIRECT("'"&amp;D2&amp;"'!R13")</f>
        <v>Sodium</v>
      </c>
    </row>
    <row r="38" spans="1:11" x14ac:dyDescent="0.35">
      <c r="A38" s="149"/>
      <c r="B38" s="18" t="s">
        <v>50</v>
      </c>
      <c r="C38" s="20">
        <f ca="1">C7</f>
        <v>17.203898210399998</v>
      </c>
      <c r="D38" s="20" cm="1">
        <f t="array" aca="1" ref="D38" ca="1">INDIRECT("'"&amp;D2&amp;"'!F8")</f>
        <v>0.16048277519999998</v>
      </c>
      <c r="E38" s="21" cm="1">
        <f t="array" aca="1" ref="E38" ca="1">INDIRECT("'"&amp;D2&amp;"'!N8")</f>
        <v>0.12094565999999997</v>
      </c>
      <c r="F38" s="21" cm="1">
        <f t="array" aca="1" ref="F38" ca="1">INDIRECT("'"&amp;D2&amp;"'!O8")</f>
        <v>4.3058399999999997E-2</v>
      </c>
      <c r="G38" s="22" cm="1">
        <f t="array" aca="1" ref="G38" ca="1">INDIRECT("'"&amp;D2&amp;"'!R8")</f>
        <v>5.8847929799999985</v>
      </c>
    </row>
    <row r="39" spans="1:11" x14ac:dyDescent="0.35">
      <c r="A39" s="149"/>
      <c r="B39" s="18"/>
      <c r="C39" s="126" t="s">
        <v>52</v>
      </c>
      <c r="D39" s="126" t="s">
        <v>52</v>
      </c>
      <c r="E39" s="126" t="s">
        <v>52</v>
      </c>
      <c r="F39" s="126">
        <v>50</v>
      </c>
      <c r="G39" s="126">
        <v>2300</v>
      </c>
    </row>
    <row r="40" spans="1:11" x14ac:dyDescent="0.35">
      <c r="A40" s="149"/>
      <c r="B40" s="18" t="s">
        <v>53</v>
      </c>
      <c r="C40" s="25" t="s">
        <v>52</v>
      </c>
      <c r="D40" s="25" t="s">
        <v>52</v>
      </c>
      <c r="E40" s="26" t="s">
        <v>52</v>
      </c>
      <c r="F40" s="26">
        <f t="shared" ref="F40:G40" ca="1" si="1">F38/F39</f>
        <v>8.6116799999999994E-4</v>
      </c>
      <c r="G40" s="26">
        <f t="shared" ca="1" si="1"/>
        <v>2.5586056434782601E-3</v>
      </c>
    </row>
    <row r="41" spans="1:11" ht="87" x14ac:dyDescent="0.35">
      <c r="A41" s="149"/>
      <c r="B41" s="18"/>
      <c r="C41" s="127" t="s">
        <v>65</v>
      </c>
      <c r="D41" s="127" t="s">
        <v>223</v>
      </c>
      <c r="E41" s="127" t="s">
        <v>214</v>
      </c>
      <c r="F41" s="127" t="s">
        <v>214</v>
      </c>
      <c r="G41" s="127" t="s">
        <v>224</v>
      </c>
      <c r="K41" s="32"/>
    </row>
    <row r="42" spans="1:11" x14ac:dyDescent="0.35">
      <c r="A42" s="149"/>
      <c r="B42" s="18" t="s">
        <v>56</v>
      </c>
      <c r="C42" s="31" t="s">
        <v>161</v>
      </c>
      <c r="D42" s="31" t="s">
        <v>62</v>
      </c>
      <c r="E42" s="30">
        <v>0</v>
      </c>
      <c r="F42" s="31">
        <v>0</v>
      </c>
      <c r="G42" s="31" t="s">
        <v>67</v>
      </c>
      <c r="K42" s="33"/>
    </row>
    <row r="43" spans="1:11" x14ac:dyDescent="0.35">
      <c r="A43" s="29"/>
      <c r="D43" s="28"/>
      <c r="K43" s="34"/>
    </row>
    <row r="44" spans="1:11" x14ac:dyDescent="0.35">
      <c r="D44" s="28"/>
      <c r="K44" s="34"/>
    </row>
    <row r="45" spans="1:11" x14ac:dyDescent="0.35">
      <c r="D45" s="28"/>
    </row>
    <row r="46" spans="1:11" x14ac:dyDescent="0.35">
      <c r="D46" s="28"/>
    </row>
    <row r="50" spans="1:6" x14ac:dyDescent="0.35">
      <c r="A50" s="43" t="s">
        <v>186</v>
      </c>
      <c r="B50" s="43"/>
      <c r="C50" s="113"/>
    </row>
    <row r="51" spans="1:6" x14ac:dyDescent="0.35">
      <c r="A51" s="42" t="s">
        <v>162</v>
      </c>
      <c r="B51" s="42">
        <v>14917322</v>
      </c>
    </row>
    <row r="52" spans="1:6" x14ac:dyDescent="0.35">
      <c r="B52" t="s">
        <v>163</v>
      </c>
      <c r="D52" t="s">
        <v>174</v>
      </c>
      <c r="F52" s="114" t="s">
        <v>182</v>
      </c>
    </row>
    <row r="53" spans="1:6" x14ac:dyDescent="0.35">
      <c r="A53" s="9" t="s">
        <v>43</v>
      </c>
      <c r="B53">
        <v>238</v>
      </c>
      <c r="D53">
        <f>(5.8/100)*B53</f>
        <v>13.803999999999998</v>
      </c>
      <c r="F53" s="114" t="str">
        <f>C42</f>
        <v>15kCal</v>
      </c>
    </row>
    <row r="54" spans="1:6" x14ac:dyDescent="0.35">
      <c r="A54" s="9" t="s">
        <v>5</v>
      </c>
      <c r="B54">
        <v>5</v>
      </c>
      <c r="D54">
        <f t="shared" ref="D54:D71" si="2">(5.8/100)*B54</f>
        <v>0.28999999999999998</v>
      </c>
      <c r="F54" s="114" t="str">
        <f>D42</f>
        <v>none</v>
      </c>
    </row>
    <row r="55" spans="1:6" x14ac:dyDescent="0.35">
      <c r="A55" s="71" t="s">
        <v>6</v>
      </c>
      <c r="B55">
        <v>0.55600000000000005</v>
      </c>
      <c r="D55">
        <f t="shared" si="2"/>
        <v>3.2247999999999999E-2</v>
      </c>
      <c r="F55" s="114" t="str">
        <f>C35</f>
        <v>none</v>
      </c>
    </row>
    <row r="56" spans="1:6" x14ac:dyDescent="0.35">
      <c r="A56" s="71" t="s">
        <v>7</v>
      </c>
      <c r="B56">
        <v>8.7999999999999995E-2</v>
      </c>
      <c r="D56">
        <f t="shared" si="2"/>
        <v>5.1039999999999992E-3</v>
      </c>
      <c r="F56" s="114" t="str">
        <f>D35</f>
        <v>none</v>
      </c>
    </row>
    <row r="57" spans="1:6" x14ac:dyDescent="0.35">
      <c r="A57" s="71" t="s">
        <v>8</v>
      </c>
      <c r="B57" t="s">
        <v>187</v>
      </c>
      <c r="F57" s="114" t="str">
        <f>E35</f>
        <v>none</v>
      </c>
    </row>
    <row r="58" spans="1:6" x14ac:dyDescent="0.35">
      <c r="A58" s="71" t="s">
        <v>9</v>
      </c>
      <c r="B58" t="s">
        <v>164</v>
      </c>
      <c r="C58" t="s">
        <v>165</v>
      </c>
      <c r="D58">
        <f>0.01*5.8</f>
        <v>5.7999999999999996E-2</v>
      </c>
      <c r="E58" t="s">
        <v>132</v>
      </c>
      <c r="F58" s="114" t="str">
        <f>F35</f>
        <v>none</v>
      </c>
    </row>
    <row r="59" spans="1:6" x14ac:dyDescent="0.35">
      <c r="A59" s="71" t="s">
        <v>10</v>
      </c>
      <c r="B59">
        <v>74.7</v>
      </c>
      <c r="D59">
        <f t="shared" si="2"/>
        <v>4.3326000000000002</v>
      </c>
      <c r="F59" s="114" t="str">
        <f>C14</f>
        <v>6g</v>
      </c>
    </row>
    <row r="60" spans="1:6" x14ac:dyDescent="0.35">
      <c r="A60" s="71" t="s">
        <v>11</v>
      </c>
      <c r="B60">
        <v>29.2</v>
      </c>
      <c r="D60">
        <f t="shared" si="2"/>
        <v>1.6935999999999998</v>
      </c>
      <c r="F60" s="114" t="str">
        <f>D14</f>
        <v>3g</v>
      </c>
    </row>
    <row r="61" spans="1:6" x14ac:dyDescent="0.35">
      <c r="A61" s="71" t="s">
        <v>12</v>
      </c>
      <c r="B61">
        <v>22.3</v>
      </c>
      <c r="D61">
        <f t="shared" si="2"/>
        <v>1.2933999999999999</v>
      </c>
      <c r="F61" s="114" t="str">
        <f>E14</f>
        <v>3g</v>
      </c>
    </row>
    <row r="62" spans="1:6" x14ac:dyDescent="0.35">
      <c r="A62" s="71" t="s">
        <v>13</v>
      </c>
      <c r="B62">
        <v>2.4</v>
      </c>
      <c r="D62">
        <f t="shared" si="2"/>
        <v>0.13919999999999999</v>
      </c>
      <c r="F62" s="115">
        <f>E42</f>
        <v>0</v>
      </c>
    </row>
    <row r="63" spans="1:6" x14ac:dyDescent="0.35">
      <c r="A63" s="71" t="s">
        <v>14</v>
      </c>
      <c r="D63">
        <f t="shared" si="2"/>
        <v>0</v>
      </c>
      <c r="F63" s="114">
        <f>F42</f>
        <v>0</v>
      </c>
    </row>
    <row r="64" spans="1:6" x14ac:dyDescent="0.35">
      <c r="A64" s="71" t="s">
        <v>15</v>
      </c>
      <c r="B64">
        <v>31.6</v>
      </c>
      <c r="C64" t="s">
        <v>166</v>
      </c>
      <c r="D64">
        <f>B64*5.8</f>
        <v>183.28</v>
      </c>
      <c r="E64" t="s">
        <v>132</v>
      </c>
      <c r="F64" s="114" t="str">
        <f>C21</f>
        <v>2% DV</v>
      </c>
    </row>
    <row r="65" spans="1:6" x14ac:dyDescent="0.35">
      <c r="A65" s="71" t="s">
        <v>16</v>
      </c>
      <c r="B65" s="113"/>
      <c r="C65" t="s">
        <v>185</v>
      </c>
      <c r="D65">
        <f t="shared" si="2"/>
        <v>0</v>
      </c>
      <c r="E65" t="s">
        <v>132</v>
      </c>
      <c r="F65" s="114" t="str">
        <f>D21</f>
        <v>30 mg</v>
      </c>
    </row>
    <row r="66" spans="1:6" x14ac:dyDescent="0.35">
      <c r="A66" s="71" t="s">
        <v>17</v>
      </c>
      <c r="B66" s="113"/>
      <c r="C66" t="s">
        <v>185</v>
      </c>
      <c r="D66">
        <f t="shared" si="2"/>
        <v>0</v>
      </c>
      <c r="E66" t="s">
        <v>132</v>
      </c>
      <c r="F66" s="114" t="str">
        <f>G42</f>
        <v>5mg</v>
      </c>
    </row>
    <row r="67" spans="1:6" x14ac:dyDescent="0.35">
      <c r="A67" s="71" t="s">
        <v>18</v>
      </c>
      <c r="B67">
        <v>750</v>
      </c>
      <c r="C67" t="s">
        <v>166</v>
      </c>
      <c r="D67">
        <f>B67*5.8</f>
        <v>4350</v>
      </c>
      <c r="E67" t="s">
        <v>132</v>
      </c>
      <c r="F67" s="116">
        <f>E21</f>
        <v>0</v>
      </c>
    </row>
    <row r="68" spans="1:6" x14ac:dyDescent="0.35">
      <c r="A68" s="71" t="s">
        <v>19</v>
      </c>
      <c r="B68" s="113"/>
      <c r="C68" t="s">
        <v>185</v>
      </c>
      <c r="D68">
        <f t="shared" si="2"/>
        <v>0</v>
      </c>
      <c r="F68" s="114" t="str">
        <f>C28</f>
        <v>none</v>
      </c>
    </row>
    <row r="69" spans="1:6" x14ac:dyDescent="0.35">
      <c r="A69" s="71" t="s">
        <v>20</v>
      </c>
      <c r="B69" s="113"/>
      <c r="C69" t="s">
        <v>185</v>
      </c>
      <c r="D69">
        <f t="shared" si="2"/>
        <v>0</v>
      </c>
      <c r="F69" s="114" t="str">
        <f>D28</f>
        <v>none</v>
      </c>
    </row>
    <row r="70" spans="1:6" x14ac:dyDescent="0.35">
      <c r="A70" s="71" t="s">
        <v>21</v>
      </c>
      <c r="B70" s="113"/>
      <c r="C70" t="s">
        <v>185</v>
      </c>
      <c r="D70">
        <f t="shared" si="2"/>
        <v>0</v>
      </c>
      <c r="F70" s="114">
        <f>E28</f>
        <v>0</v>
      </c>
    </row>
    <row r="71" spans="1:6" x14ac:dyDescent="0.35">
      <c r="A71" s="71" t="s">
        <v>22</v>
      </c>
      <c r="D71">
        <f t="shared" si="2"/>
        <v>0</v>
      </c>
      <c r="F71" s="114" t="str">
        <f>F28</f>
        <v>0g</v>
      </c>
    </row>
  </sheetData>
  <mergeCells count="6">
    <mergeCell ref="A37:A42"/>
    <mergeCell ref="A5:A7"/>
    <mergeCell ref="A9:A14"/>
    <mergeCell ref="A16:A21"/>
    <mergeCell ref="A23:A28"/>
    <mergeCell ref="A30:A35"/>
  </mergeCells>
  <pageMargins left="0.7" right="0.7" top="0.75" bottom="0.75" header="0.3" footer="0.3"/>
  <pageSetup orientation="portrait" r:id="rId1"/>
  <headerFooter>
    <oddHeader>&amp;R&amp;"Calibri"&amp;10&amp;K000000Highly Restricted&amp;1#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B653-1E98-48F1-97F4-533319ED302A}">
  <dimension ref="A1:W34"/>
  <sheetViews>
    <sheetView zoomScaleNormal="100" workbookViewId="0">
      <selection activeCell="C8" sqref="C8"/>
    </sheetView>
  </sheetViews>
  <sheetFormatPr defaultRowHeight="14.5" x14ac:dyDescent="0.35"/>
  <cols>
    <col min="1" max="1" width="3" bestFit="1" customWidth="1"/>
    <col min="2" max="2" width="20.1796875" bestFit="1" customWidth="1"/>
    <col min="3" max="3" width="13.1796875" bestFit="1" customWidth="1"/>
    <col min="4" max="4" width="16.453125" bestFit="1" customWidth="1"/>
    <col min="5" max="6" width="12.6328125" customWidth="1"/>
    <col min="7" max="23" width="12.6328125" style="66" customWidth="1"/>
  </cols>
  <sheetData>
    <row r="1" spans="1:23" s="44" customFormat="1" x14ac:dyDescent="0.35">
      <c r="B1" s="45" t="s">
        <v>88</v>
      </c>
      <c r="C1" s="46">
        <v>46078</v>
      </c>
      <c r="D1" s="47" t="s">
        <v>89</v>
      </c>
      <c r="E1" s="45" t="s">
        <v>90</v>
      </c>
      <c r="F1" s="47" t="s">
        <v>91</v>
      </c>
      <c r="G1" s="64" t="s">
        <v>92</v>
      </c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</row>
    <row r="2" spans="1:23" x14ac:dyDescent="0.35">
      <c r="B2" t="s">
        <v>35</v>
      </c>
    </row>
    <row r="3" spans="1:23" x14ac:dyDescent="0.35">
      <c r="B3" s="13" t="s">
        <v>36</v>
      </c>
    </row>
    <row r="4" spans="1:23" x14ac:dyDescent="0.35">
      <c r="B4" t="s">
        <v>37</v>
      </c>
      <c r="D4" s="37"/>
    </row>
    <row r="5" spans="1:23" x14ac:dyDescent="0.35">
      <c r="B5" t="s">
        <v>38</v>
      </c>
      <c r="C5" t="s">
        <v>3</v>
      </c>
      <c r="D5" s="13" t="s">
        <v>87</v>
      </c>
    </row>
    <row r="6" spans="1:23" ht="15" thickBot="1" x14ac:dyDescent="0.4">
      <c r="B6" s="13" t="s">
        <v>93</v>
      </c>
      <c r="C6" s="13">
        <v>5.8246010000000004</v>
      </c>
      <c r="D6">
        <f>C6*2</f>
        <v>11.649202000000001</v>
      </c>
    </row>
    <row r="7" spans="1:23" ht="15" thickBot="1" x14ac:dyDescent="0.4">
      <c r="B7" s="62" t="s">
        <v>114</v>
      </c>
      <c r="C7" s="63">
        <v>11.6</v>
      </c>
      <c r="E7" t="s">
        <v>113</v>
      </c>
    </row>
    <row r="8" spans="1:23" ht="27" customHeight="1" x14ac:dyDescent="0.35">
      <c r="B8" s="10" t="s">
        <v>39</v>
      </c>
      <c r="C8" s="11">
        <f>SUM(C14:C34)</f>
        <v>1.00003</v>
      </c>
      <c r="D8" s="16">
        <f>SUM(D14:D21)</f>
        <v>11.600347999999999</v>
      </c>
      <c r="E8" s="36">
        <f ca="1">'Nutrition STOF'!C7</f>
        <v>30.34974158512</v>
      </c>
      <c r="F8" s="36">
        <f t="shared" ref="F8:W8" si="0">SUM(F14:F34)</f>
        <v>0.35871204551999997</v>
      </c>
      <c r="G8" s="67">
        <f t="shared" si="0"/>
        <v>7.4235000400000001E-2</v>
      </c>
      <c r="H8" s="67">
        <f t="shared" si="0"/>
        <v>1.231380136E-2</v>
      </c>
      <c r="I8" s="67">
        <f t="shared" si="0"/>
        <v>0</v>
      </c>
      <c r="J8" s="68">
        <f>SUM(J14:J34)</f>
        <v>0</v>
      </c>
      <c r="K8" s="67">
        <f t="shared" si="0"/>
        <v>10.3692870264</v>
      </c>
      <c r="L8" s="67">
        <f t="shared" si="0"/>
        <v>5.4387363279999992</v>
      </c>
      <c r="M8" s="67">
        <f t="shared" si="0"/>
        <v>4.5748549799999996</v>
      </c>
      <c r="N8" s="67">
        <f t="shared" si="0"/>
        <v>0.16369015199999998</v>
      </c>
      <c r="O8" s="67">
        <f t="shared" si="0"/>
        <v>1.5622996E-2</v>
      </c>
      <c r="P8" s="73">
        <f t="shared" si="0"/>
        <v>0.5246873487999999</v>
      </c>
      <c r="Q8" s="73">
        <f t="shared" si="0"/>
        <v>55.013045588000004</v>
      </c>
      <c r="R8" s="73">
        <f t="shared" si="0"/>
        <v>10.557583527599997</v>
      </c>
      <c r="S8" s="73">
        <f t="shared" si="0"/>
        <v>11.750375729999998</v>
      </c>
      <c r="T8" s="69">
        <f t="shared" si="0"/>
        <v>0.75477024000000004</v>
      </c>
      <c r="U8" s="68">
        <f t="shared" si="0"/>
        <v>2.5171999999999998E-4</v>
      </c>
      <c r="V8" s="70">
        <f t="shared" si="0"/>
        <v>0</v>
      </c>
      <c r="W8" s="67">
        <f t="shared" si="0"/>
        <v>0.23270068755999998</v>
      </c>
    </row>
    <row r="9" spans="1:23" x14ac:dyDescent="0.35">
      <c r="E9" s="148" t="s">
        <v>40</v>
      </c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</row>
    <row r="10" spans="1:23" x14ac:dyDescent="0.35">
      <c r="B10" t="s">
        <v>112</v>
      </c>
      <c r="C10" s="37">
        <v>2</v>
      </c>
      <c r="D10" s="61">
        <f>C6*2</f>
        <v>11.649202000000001</v>
      </c>
      <c r="E10" s="36">
        <f ca="1">E8*$C$10</f>
        <v>60.699483170240001</v>
      </c>
      <c r="F10" s="36">
        <f t="shared" ref="F10:W10" si="1">F8*$C$10</f>
        <v>0.71742409103999993</v>
      </c>
      <c r="G10" s="67">
        <f t="shared" si="1"/>
        <v>0.1484700008</v>
      </c>
      <c r="H10" s="67">
        <f t="shared" si="1"/>
        <v>2.4627602719999999E-2</v>
      </c>
      <c r="I10" s="67">
        <f t="shared" si="1"/>
        <v>0</v>
      </c>
      <c r="J10" s="68">
        <f t="shared" si="1"/>
        <v>0</v>
      </c>
      <c r="K10" s="67">
        <f t="shared" si="1"/>
        <v>20.738574052800001</v>
      </c>
      <c r="L10" s="67">
        <f t="shared" si="1"/>
        <v>10.877472655999998</v>
      </c>
      <c r="M10" s="67">
        <f t="shared" si="1"/>
        <v>9.1497099599999991</v>
      </c>
      <c r="N10" s="67">
        <f t="shared" si="1"/>
        <v>0.32738030399999996</v>
      </c>
      <c r="O10" s="67">
        <f t="shared" si="1"/>
        <v>3.1245992E-2</v>
      </c>
      <c r="P10" s="73">
        <f t="shared" si="1"/>
        <v>1.0493746975999998</v>
      </c>
      <c r="Q10" s="73">
        <f t="shared" si="1"/>
        <v>110.02609117600001</v>
      </c>
      <c r="R10" s="73">
        <f t="shared" si="1"/>
        <v>21.115167055199993</v>
      </c>
      <c r="S10" s="73">
        <f t="shared" si="1"/>
        <v>23.500751459999996</v>
      </c>
      <c r="T10" s="69">
        <f t="shared" si="1"/>
        <v>1.5095404800000001</v>
      </c>
      <c r="U10" s="68">
        <f t="shared" si="1"/>
        <v>5.0343999999999996E-4</v>
      </c>
      <c r="V10" s="70">
        <f t="shared" si="1"/>
        <v>0</v>
      </c>
      <c r="W10" s="67">
        <f t="shared" si="1"/>
        <v>0.46540137511999996</v>
      </c>
    </row>
    <row r="11" spans="1:23" x14ac:dyDescent="0.35">
      <c r="D11" s="38"/>
    </row>
    <row r="12" spans="1:23" x14ac:dyDescent="0.35">
      <c r="C12" s="100">
        <f>SUM(C14:C34)</f>
        <v>1.00003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</row>
    <row r="13" spans="1:23" s="9" customFormat="1" ht="29" x14ac:dyDescent="0.35">
      <c r="B13" s="9" t="s">
        <v>0</v>
      </c>
      <c r="C13" s="9" t="s">
        <v>41</v>
      </c>
      <c r="D13" s="9" t="s">
        <v>42</v>
      </c>
      <c r="E13" s="9" t="s">
        <v>43</v>
      </c>
      <c r="F13" s="9" t="s">
        <v>5</v>
      </c>
      <c r="G13" s="71" t="s">
        <v>6</v>
      </c>
      <c r="H13" s="71" t="s">
        <v>7</v>
      </c>
      <c r="I13" s="71" t="s">
        <v>8</v>
      </c>
      <c r="J13" s="71" t="s">
        <v>9</v>
      </c>
      <c r="K13" s="71" t="s">
        <v>10</v>
      </c>
      <c r="L13" s="71" t="s">
        <v>11</v>
      </c>
      <c r="M13" s="71" t="s">
        <v>12</v>
      </c>
      <c r="N13" s="71" t="s">
        <v>13</v>
      </c>
      <c r="O13" s="71" t="s">
        <v>14</v>
      </c>
      <c r="P13" s="71" t="s">
        <v>15</v>
      </c>
      <c r="Q13" s="71" t="s">
        <v>16</v>
      </c>
      <c r="R13" s="71" t="s">
        <v>17</v>
      </c>
      <c r="S13" s="71" t="s">
        <v>18</v>
      </c>
      <c r="T13" s="71" t="s">
        <v>19</v>
      </c>
      <c r="U13" s="71" t="s">
        <v>20</v>
      </c>
      <c r="V13" s="71" t="s">
        <v>21</v>
      </c>
      <c r="W13" s="71" t="s">
        <v>22</v>
      </c>
    </row>
    <row r="14" spans="1:23" x14ac:dyDescent="0.35">
      <c r="A14">
        <v>1</v>
      </c>
      <c r="B14" s="14" t="s">
        <v>23</v>
      </c>
      <c r="C14" s="12">
        <v>0.55940999999999996</v>
      </c>
      <c r="D14" s="17">
        <f>C14*$C$7</f>
        <v>6.4891559999999995</v>
      </c>
      <c r="E14" s="36">
        <f>VLOOKUP($B14,Ingredients!$A:$W,5,FALSE)*$D14/100</f>
        <v>23.412874847999998</v>
      </c>
      <c r="F14" s="36">
        <f>VLOOKUP($B14,Ingredients!$A:$W,6,FALSE)*$D14/100</f>
        <v>0.28046132231999998</v>
      </c>
      <c r="G14" s="67">
        <f>VLOOKUP($B14,Ingredients!$A:$W,7,FALSE)*$D14/100</f>
        <v>6.5540475599999995E-2</v>
      </c>
      <c r="H14" s="67">
        <f>VLOOKUP($B14,Ingredients!$A:$W,8,FALSE)*$D14/100</f>
        <v>1.0771998959999999E-2</v>
      </c>
      <c r="I14" s="67">
        <f>VLOOKUP($B14,Ingredients!$A:$W,9,FALSE)*$D14/100</f>
        <v>0</v>
      </c>
      <c r="J14" s="68">
        <f>VLOOKUP($B14,Ingredients!$A:$W,10,FALSE)*$D14/100</f>
        <v>0</v>
      </c>
      <c r="K14" s="67">
        <f>VLOOKUP($B14,Ingredients!$A:$W,11,FALSE)*$D14/100</f>
        <v>5.6455657199999996</v>
      </c>
      <c r="L14" s="67">
        <f>VLOOKUP($B14,Ingredients!$A:$W,12,FALSE)*$D14/100</f>
        <v>5.4379127279999988</v>
      </c>
      <c r="M14" s="67">
        <f>VLOOKUP($B14,Ingredients!$A:$W,13,FALSE)*$D14/100</f>
        <v>4.5748549799999996</v>
      </c>
      <c r="N14" s="67">
        <f>VLOOKUP($B14,Ingredients!$A:$W,14,FALSE)*$D14/100</f>
        <v>6.4891560000000003E-3</v>
      </c>
      <c r="O14" s="67">
        <f>VLOOKUP($B14,Ingredients!$A:$W,15,FALSE)*$D14/100</f>
        <v>0</v>
      </c>
      <c r="P14" s="73">
        <f>VLOOKUP($B14,Ingredients!$A:$W,16,FALSE)*$D14/100</f>
        <v>0.5061541679999999</v>
      </c>
      <c r="Q14" s="73">
        <f>VLOOKUP($B14,Ingredients!$A:$W,17,FALSE)*$D14/100</f>
        <v>54.963151319999994</v>
      </c>
      <c r="R14" s="73">
        <f>VLOOKUP($B14,Ingredients!$A:$W,18,FALSE)*$D14/100</f>
        <v>4.5651212459999995</v>
      </c>
      <c r="S14" s="73">
        <f>VLOOKUP($B14,Ingredients!$A:$W,19,FALSE)*$D14/100</f>
        <v>11.367054565199998</v>
      </c>
      <c r="T14" s="69">
        <f>VLOOKUP($B14,Ingredients!$A:$W,20,FALSE)*$D14/100</f>
        <v>0</v>
      </c>
      <c r="U14" s="68">
        <f>VLOOKUP($B14,Ingredients!$A:$W,21,FALSE)*$D14/100</f>
        <v>0</v>
      </c>
      <c r="V14" s="70">
        <f>VLOOKUP($B14,Ingredients!$A:$W,22,FALSE)*$D14/100</f>
        <v>0</v>
      </c>
      <c r="W14" s="67">
        <f>VLOOKUP($B14,Ingredients!$A:$W,23,FALSE)*$D14/100</f>
        <v>0.13633716755999997</v>
      </c>
    </row>
    <row r="15" spans="1:23" x14ac:dyDescent="0.35">
      <c r="A15">
        <v>2</v>
      </c>
      <c r="B15" s="14" t="s">
        <v>24</v>
      </c>
      <c r="C15" s="12">
        <v>0.31929999999999997</v>
      </c>
      <c r="D15" s="17">
        <f t="shared" ref="D15:D20" si="2">C15*$C$7</f>
        <v>3.7038799999999994</v>
      </c>
      <c r="E15" s="36">
        <f>VLOOKUP($B15,Ingredients!$A:$W,5,FALSE)*$D15/100</f>
        <v>14.000666399999998</v>
      </c>
      <c r="F15" s="36">
        <f>VLOOKUP($B15,Ingredients!$A:$W,6,FALSE)*$D15/100</f>
        <v>0</v>
      </c>
      <c r="G15" s="67">
        <f>VLOOKUP($B15,Ingredients!$A:$W,7,FALSE)*$D15/100</f>
        <v>0</v>
      </c>
      <c r="H15" s="67">
        <f>VLOOKUP($B15,Ingredients!$A:$W,8,FALSE)*$D15/100</f>
        <v>0</v>
      </c>
      <c r="I15" s="67">
        <f>VLOOKUP($B15,Ingredients!$A:$W,9,FALSE)*$D15/100</f>
        <v>0</v>
      </c>
      <c r="J15" s="68">
        <f>VLOOKUP($B15,Ingredients!$A:$W,10,FALSE)*$D15/100</f>
        <v>0</v>
      </c>
      <c r="K15" s="67">
        <f>VLOOKUP($B15,Ingredients!$A:$W,11,FALSE)*$D15/100</f>
        <v>3.4890549599999998</v>
      </c>
      <c r="L15" s="67">
        <f>VLOOKUP($B15,Ingredients!$A:$W,12,FALSE)*$D15/100</f>
        <v>0</v>
      </c>
      <c r="M15" s="67">
        <f>VLOOKUP($B15,Ingredients!$A:$W,13,FALSE)*$D15/100</f>
        <v>0</v>
      </c>
      <c r="N15" s="67">
        <f>VLOOKUP($B15,Ingredients!$A:$W,14,FALSE)*$D15/100</f>
        <v>0.1296358</v>
      </c>
      <c r="O15" s="67">
        <f>VLOOKUP($B15,Ingredients!$A:$W,15,FALSE)*$D15/100</f>
        <v>0</v>
      </c>
      <c r="P15" s="73">
        <f>VLOOKUP($B15,Ingredients!$A:$W,16,FALSE)*$D15/100</f>
        <v>1.8519399999999998E-2</v>
      </c>
      <c r="Q15" s="73">
        <f>VLOOKUP($B15,Ingredients!$A:$W,17,FALSE)*$D15/100</f>
        <v>0</v>
      </c>
      <c r="R15" s="73">
        <f>VLOOKUP($B15,Ingredients!$A:$W,18,FALSE)*$D15/100</f>
        <v>5.5558199999999989</v>
      </c>
      <c r="S15" s="73">
        <f>VLOOKUP($B15,Ingredients!$A:$W,19,FALSE)*$D15/100</f>
        <v>0.37038799999999994</v>
      </c>
      <c r="T15" s="69">
        <f>VLOOKUP($B15,Ingredients!$A:$W,20,FALSE)*$D15/100</f>
        <v>0</v>
      </c>
      <c r="U15" s="68">
        <f>VLOOKUP($B15,Ingredients!$A:$W,21,FALSE)*$D15/100</f>
        <v>0</v>
      </c>
      <c r="V15" s="70">
        <f>VLOOKUP($B15,Ingredients!$A:$W,22,FALSE)*$D15/100</f>
        <v>0</v>
      </c>
      <c r="W15" s="67">
        <f>VLOOKUP($B15,Ingredients!$A:$W,23,FALSE)*$D15/100</f>
        <v>1.1111639999999999E-2</v>
      </c>
    </row>
    <row r="16" spans="1:23" x14ac:dyDescent="0.35">
      <c r="A16">
        <v>3</v>
      </c>
      <c r="B16" s="14" t="s">
        <v>26</v>
      </c>
      <c r="C16" s="12">
        <v>7.3400000000000007E-2</v>
      </c>
      <c r="D16" s="17">
        <f t="shared" si="2"/>
        <v>0.85144000000000009</v>
      </c>
      <c r="E16" s="36">
        <f>VLOOKUP($B16,Ingredients!$A:$W,5,FALSE)*$D16/100</f>
        <v>2.1030568000000001</v>
      </c>
      <c r="F16" s="36">
        <f>VLOOKUP($B16,Ingredients!$A:$W,6,FALSE)*$D16/100</f>
        <v>0</v>
      </c>
      <c r="G16" s="67">
        <f>VLOOKUP($B16,Ingredients!$A:$W,7,FALSE)*$D16/100</f>
        <v>0</v>
      </c>
      <c r="H16" s="67">
        <f>VLOOKUP($B16,Ingredients!$A:$W,8,FALSE)*$D16/100</f>
        <v>0</v>
      </c>
      <c r="I16" s="67">
        <f>VLOOKUP($B16,Ingredients!$A:$W,9,FALSE)*$D16/100</f>
        <v>0</v>
      </c>
      <c r="J16" s="68">
        <f>VLOOKUP($B16,Ingredients!$A:$W,10,FALSE)*$D16/100</f>
        <v>0</v>
      </c>
      <c r="K16" s="67">
        <f>VLOOKUP($B16,Ingredients!$A:$W,11,FALSE)*$D16/100</f>
        <v>0.84675708000000016</v>
      </c>
      <c r="L16" s="67">
        <f>VLOOKUP($B16,Ingredients!$A:$W,12,FALSE)*$D16/100</f>
        <v>0</v>
      </c>
      <c r="M16" s="67">
        <f>VLOOKUP($B16,Ingredients!$A:$W,13,FALSE)*$D16/100</f>
        <v>0</v>
      </c>
      <c r="N16" s="67">
        <f>VLOOKUP($B16,Ingredients!$A:$W,14,FALSE)*$D16/100</f>
        <v>0</v>
      </c>
      <c r="O16" s="67">
        <f>VLOOKUP($B16,Ingredients!$A:$W,15,FALSE)*$D16/100</f>
        <v>0</v>
      </c>
      <c r="P16" s="73">
        <f>VLOOKUP($B16,Ingredients!$A:$W,16,FALSE)*$D16/100</f>
        <v>0</v>
      </c>
      <c r="Q16" s="73">
        <f>VLOOKUP($B16,Ingredients!$A:$W,17,FALSE)*$D16/100</f>
        <v>2.5543200000000001E-3</v>
      </c>
      <c r="R16" s="73">
        <f>VLOOKUP($B16,Ingredients!$A:$W,18,FALSE)*$D16/100</f>
        <v>2.5543200000000001E-3</v>
      </c>
      <c r="S16" s="73">
        <f>VLOOKUP($B16,Ingredients!$A:$W,19,FALSE)*$D16/100</f>
        <v>1.7028800000000001E-3</v>
      </c>
      <c r="T16" s="69">
        <f>VLOOKUP($B16,Ingredients!$A:$W,20,FALSE)*$D16/100</f>
        <v>0</v>
      </c>
      <c r="U16" s="68">
        <f>VLOOKUP($B16,Ingredients!$A:$W,21,FALSE)*$D16/100</f>
        <v>0</v>
      </c>
      <c r="V16" s="70">
        <f>VLOOKUP($B16,Ingredients!$A:$W,22,FALSE)*$D16/100</f>
        <v>0</v>
      </c>
      <c r="W16" s="67">
        <f>VLOOKUP($B16,Ingredients!$A:$W,23,FALSE)*$D16/100</f>
        <v>0</v>
      </c>
    </row>
    <row r="17" spans="1:23" x14ac:dyDescent="0.35">
      <c r="A17">
        <v>4</v>
      </c>
      <c r="B17" s="14" t="s">
        <v>75</v>
      </c>
      <c r="C17" s="35">
        <v>7.6E-3</v>
      </c>
      <c r="D17" s="17">
        <f t="shared" si="2"/>
        <v>8.8160000000000002E-2</v>
      </c>
      <c r="E17" s="36">
        <f>VLOOKUP($B17,Ingredients!$A:$W,5,FALSE)*$D17/100</f>
        <v>0.33588960000000001</v>
      </c>
      <c r="F17" s="36">
        <f>VLOOKUP($B17,Ingredients!$A:$W,6,FALSE)*$D17/100</f>
        <v>0</v>
      </c>
      <c r="G17" s="67">
        <f>VLOOKUP($B17,Ingredients!$A:$W,7,FALSE)*$D17/100</f>
        <v>0</v>
      </c>
      <c r="H17" s="67">
        <f>VLOOKUP($B17,Ingredients!$A:$W,8,FALSE)*$D17/100</f>
        <v>0</v>
      </c>
      <c r="I17" s="67">
        <f>VLOOKUP($B17,Ingredients!$A:$W,9,FALSE)*$D17/100</f>
        <v>0</v>
      </c>
      <c r="J17" s="68">
        <f>VLOOKUP($B17,Ingredients!$A:$W,10,FALSE)*$D17/100</f>
        <v>0</v>
      </c>
      <c r="K17" s="67">
        <f>VLOOKUP($B17,Ingredients!$A:$W,11,FALSE)*$D17/100</f>
        <v>0</v>
      </c>
      <c r="L17" s="67">
        <f>VLOOKUP($B17,Ingredients!$A:$W,12,FALSE)*$D17/100</f>
        <v>0</v>
      </c>
      <c r="M17" s="67">
        <f>VLOOKUP($B17,Ingredients!$A:$W,13,FALSE)*$D17/100</f>
        <v>0</v>
      </c>
      <c r="N17" s="67">
        <f>VLOOKUP($B17,Ingredients!$A:$W,14,FALSE)*$D17/100</f>
        <v>0</v>
      </c>
      <c r="O17" s="67">
        <f>VLOOKUP($B17,Ingredients!$A:$W,15,FALSE)*$D17/100</f>
        <v>0</v>
      </c>
      <c r="P17" s="73">
        <f>VLOOKUP($B17,Ingredients!$A:$W,16,FALSE)*$D17/100</f>
        <v>0</v>
      </c>
      <c r="Q17" s="73">
        <f>VLOOKUP($B17,Ingredients!$A:$W,17,FALSE)*$D17/100</f>
        <v>8.8160000000000009E-3</v>
      </c>
      <c r="R17" s="73">
        <f>VLOOKUP($B17,Ingredients!$A:$W,18,FALSE)*$D17/100</f>
        <v>2.6447999999999999E-2</v>
      </c>
      <c r="S17" s="73">
        <f>VLOOKUP($B17,Ingredients!$A:$W,19,FALSE)*$D17/100</f>
        <v>1.7632000000000001E-3</v>
      </c>
      <c r="T17" s="69">
        <f>VLOOKUP($B17,Ingredients!$A:$W,20,FALSE)*$D17/100</f>
        <v>0</v>
      </c>
      <c r="U17" s="68">
        <f>VLOOKUP($B17,Ingredients!$A:$W,21,FALSE)*$D17/100</f>
        <v>0</v>
      </c>
      <c r="V17" s="70">
        <f>VLOOKUP($B17,Ingredients!$A:$W,22,FALSE)*$D17/100</f>
        <v>0</v>
      </c>
      <c r="W17" s="67">
        <f>VLOOKUP($B17,Ingredients!$A:$W,23,FALSE)*$D17/100</f>
        <v>8.4016480000000004E-2</v>
      </c>
    </row>
    <row r="18" spans="1:23" ht="16.399999999999999" customHeight="1" x14ac:dyDescent="0.35">
      <c r="A18">
        <v>5</v>
      </c>
      <c r="B18" s="14" t="s">
        <v>80</v>
      </c>
      <c r="C18" s="35">
        <v>3.5499999999999997E-2</v>
      </c>
      <c r="D18" s="17">
        <f t="shared" si="2"/>
        <v>0.41179999999999994</v>
      </c>
      <c r="E18" s="36">
        <f>VLOOKUP($B18,Ingredients!$A:$W,5,FALSE)*$D18/100</f>
        <v>1.3754119999999999</v>
      </c>
      <c r="F18" s="36">
        <f>VLOOKUP($B18,Ingredients!$A:$W,6,FALSE)*$D18/100</f>
        <v>0</v>
      </c>
      <c r="G18" s="67">
        <f>VLOOKUP($B18,Ingredients!$A:$W,7,FALSE)*$D18/100</f>
        <v>0</v>
      </c>
      <c r="H18" s="67">
        <f>VLOOKUP($B18,Ingredients!$A:$W,8,FALSE)*$D18/100</f>
        <v>0</v>
      </c>
      <c r="I18" s="67">
        <f>VLOOKUP($B18,Ingredients!$A:$W,9,FALSE)*$D18/100</f>
        <v>0</v>
      </c>
      <c r="J18" s="68">
        <f>VLOOKUP($B18,Ingredients!$A:$W,10,FALSE)*$D18/100</f>
        <v>0</v>
      </c>
      <c r="K18" s="67">
        <f>VLOOKUP($B18,Ingredients!$A:$W,11,FALSE)*$D18/100</f>
        <v>0.34508839999999991</v>
      </c>
      <c r="L18" s="67">
        <f>VLOOKUP($B18,Ingredients!$A:$W,12,FALSE)*$D18/100</f>
        <v>8.2359999999999985E-4</v>
      </c>
      <c r="M18" s="67">
        <f>VLOOKUP($B18,Ingredients!$A:$W,13,FALSE)*$D18/100</f>
        <v>0</v>
      </c>
      <c r="N18" s="67">
        <f>VLOOKUP($B18,Ingredients!$A:$W,14,FALSE)*$D18/100</f>
        <v>1.1942199999999998E-2</v>
      </c>
      <c r="O18" s="67">
        <f>VLOOKUP($B18,Ingredients!$A:$W,15,FALSE)*$D18/100</f>
        <v>0</v>
      </c>
      <c r="P18" s="73">
        <f>VLOOKUP($B18,Ingredients!$A:$W,16,FALSE)*$D18/100</f>
        <v>0</v>
      </c>
      <c r="Q18" s="73">
        <f>VLOOKUP($B18,Ingredients!$A:$W,17,FALSE)*$D18/100</f>
        <v>3.2943999999999994E-2</v>
      </c>
      <c r="R18" s="73">
        <f>VLOOKUP($B18,Ingredients!$A:$W,18,FALSE)*$D18/100</f>
        <v>0.39532799999999996</v>
      </c>
      <c r="S18" s="73">
        <f>VLOOKUP($B18,Ingredients!$A:$W,19,FALSE)*$D18/100</f>
        <v>8.2359999999999985E-3</v>
      </c>
      <c r="T18" s="69">
        <f>VLOOKUP($B18,Ingredients!$A:$W,20,FALSE)*$D18/100</f>
        <v>0</v>
      </c>
      <c r="U18" s="68">
        <f>VLOOKUP($B18,Ingredients!$A:$W,21,FALSE)*$D18/100</f>
        <v>0</v>
      </c>
      <c r="V18" s="70">
        <f>VLOOKUP($B18,Ingredients!$A:$W,22,FALSE)*$D18/100</f>
        <v>0</v>
      </c>
      <c r="W18" s="67">
        <f>VLOOKUP($B18,Ingredients!$A:$W,23,FALSE)*$D18/100</f>
        <v>1.2353999999999998E-3</v>
      </c>
    </row>
    <row r="19" spans="1:23" x14ac:dyDescent="0.35">
      <c r="A19">
        <v>6</v>
      </c>
      <c r="B19" s="14" t="s">
        <v>30</v>
      </c>
      <c r="C19" s="35">
        <v>3.5000000000000001E-3</v>
      </c>
      <c r="D19" s="17">
        <f t="shared" si="2"/>
        <v>4.0599999999999997E-2</v>
      </c>
      <c r="E19" s="36">
        <f>VLOOKUP($B19,Ingredients!$A:$W,5,FALSE)*$D19/100</f>
        <v>0.20087256000000001</v>
      </c>
      <c r="F19" s="36">
        <f>VLOOKUP($B19,Ingredients!$A:$W,6,FALSE)*$D19/100</f>
        <v>7.819559999999999E-2</v>
      </c>
      <c r="G19" s="67">
        <f>VLOOKUP($B19,Ingredients!$A:$W,7,FALSE)*$D19/100</f>
        <v>8.6883999999999989E-3</v>
      </c>
      <c r="H19" s="67">
        <f>VLOOKUP($B19,Ingredients!$A:$W,8,FALSE)*$D19/100</f>
        <v>1.5387399999999998E-3</v>
      </c>
      <c r="I19" s="67">
        <f>VLOOKUP($B19,Ingredients!$A:$W,9,FALSE)*$D19/100</f>
        <v>0</v>
      </c>
      <c r="J19" s="68">
        <f>VLOOKUP($B19,Ingredients!$A:$W,10,FALSE)*$D19/100</f>
        <v>0</v>
      </c>
      <c r="K19" s="67">
        <f>VLOOKUP($B19,Ingredients!$A:$W,11,FALSE)*$D19/100</f>
        <v>3.0575859999999996E-2</v>
      </c>
      <c r="L19" s="67">
        <f>VLOOKUP($B19,Ingredients!$A:$W,12,FALSE)*$D19/100</f>
        <v>0</v>
      </c>
      <c r="M19" s="67">
        <f>VLOOKUP($B19,Ingredients!$A:$W,13,FALSE)*$D19/100</f>
        <v>0</v>
      </c>
      <c r="N19" s="67">
        <f>VLOOKUP($B19,Ingredients!$A:$W,14,FALSE)*$D19/100</f>
        <v>1.3012299999999999E-2</v>
      </c>
      <c r="O19" s="67">
        <f>VLOOKUP($B19,Ingredients!$A:$W,15,FALSE)*$D19/100</f>
        <v>1.3012299999999999E-2</v>
      </c>
      <c r="P19" s="73">
        <f>VLOOKUP($B19,Ingredients!$A:$W,16,FALSE)*$D19/100</f>
        <v>0</v>
      </c>
      <c r="Q19" s="73">
        <f>VLOOKUP($B19,Ingredients!$A:$W,17,FALSE)*$D19/100</f>
        <v>1.1165000000000001E-3</v>
      </c>
      <c r="R19" s="73">
        <f>VLOOKUP($B19,Ingredients!$A:$W,18,FALSE)*$D19/100</f>
        <v>7.3079999999999998E-5</v>
      </c>
      <c r="S19" s="73">
        <f>VLOOKUP($B19,Ingredients!$A:$W,19,FALSE)*$D19/100</f>
        <v>0</v>
      </c>
      <c r="T19" s="69">
        <f>VLOOKUP($B19,Ingredients!$A:$W,20,FALSE)*$D19/100</f>
        <v>0.75477024000000004</v>
      </c>
      <c r="U19" s="68">
        <f>VLOOKUP($B19,Ingredients!$A:$W,21,FALSE)*$D19/100</f>
        <v>2.5171999999999998E-4</v>
      </c>
      <c r="V19" s="70">
        <f>VLOOKUP($B19,Ingredients!$A:$W,22,FALSE)*$D19/100</f>
        <v>0</v>
      </c>
      <c r="W19" s="67">
        <f>VLOOKUP($B19,Ingredients!$A:$W,23,FALSE)*$D19/100</f>
        <v>0</v>
      </c>
    </row>
    <row r="20" spans="1:23" x14ac:dyDescent="0.35">
      <c r="A20">
        <v>7</v>
      </c>
      <c r="B20" s="14" t="s">
        <v>32</v>
      </c>
      <c r="C20" s="35">
        <v>1.32E-3</v>
      </c>
      <c r="D20" s="17">
        <f t="shared" si="2"/>
        <v>1.5311999999999999E-2</v>
      </c>
      <c r="E20" s="36">
        <f>VLOOKUP($B20,Ingredients!$A:$W,5,FALSE)*$D20/100</f>
        <v>4.9102521599999997E-2</v>
      </c>
      <c r="F20" s="36">
        <f>VLOOKUP($B20,Ingredients!$A:$W,6,FALSE)*$D20/100</f>
        <v>5.5123199999999994E-5</v>
      </c>
      <c r="G20" s="67">
        <f>VLOOKUP($B20,Ingredients!$A:$W,7,FALSE)*$D20/100</f>
        <v>6.1248000000000002E-6</v>
      </c>
      <c r="H20" s="67">
        <f>VLOOKUP($B20,Ingredients!$A:$W,8,FALSE)*$D20/100</f>
        <v>3.0624000000000001E-6</v>
      </c>
      <c r="I20" s="67">
        <f>VLOOKUP($B20,Ingredients!$A:$W,9,FALSE)*$D20/100</f>
        <v>0</v>
      </c>
      <c r="J20" s="68">
        <f>VLOOKUP($B20,Ingredients!$A:$W,10,FALSE)*$D20/100</f>
        <v>0</v>
      </c>
      <c r="K20" s="67">
        <f>VLOOKUP($B20,Ingredients!$A:$W,11,FALSE)*$D20/100</f>
        <v>1.2245006400000001E-2</v>
      </c>
      <c r="L20" s="67">
        <f>VLOOKUP($B20,Ingredients!$A:$W,12,FALSE)*$D20/100</f>
        <v>0</v>
      </c>
      <c r="M20" s="67">
        <f>VLOOKUP($B20,Ingredients!$A:$W,13,FALSE)*$D20/100</f>
        <v>0</v>
      </c>
      <c r="N20" s="67">
        <f>VLOOKUP($B20,Ingredients!$A:$W,14,FALSE)*$D20/100</f>
        <v>2.610696E-3</v>
      </c>
      <c r="O20" s="67">
        <f>VLOOKUP($B20,Ingredients!$A:$W,15,FALSE)*$D20/100</f>
        <v>2.610696E-3</v>
      </c>
      <c r="P20" s="73">
        <f>VLOOKUP($B20,Ingredients!$A:$W,16,FALSE)*$D20/100</f>
        <v>1.3780799999999999E-5</v>
      </c>
      <c r="Q20" s="73">
        <f>VLOOKUP($B20,Ingredients!$A:$W,17,FALSE)*$D20/100</f>
        <v>4.4634479999999992E-3</v>
      </c>
      <c r="R20" s="73">
        <f>VLOOKUP($B20,Ingredients!$A:$W,18,FALSE)*$D20/100</f>
        <v>1.2238881599999999E-2</v>
      </c>
      <c r="S20" s="73">
        <f>VLOOKUP($B20,Ingredients!$A:$W,19,FALSE)*$D20/100</f>
        <v>1.2310847999999998E-3</v>
      </c>
      <c r="T20" s="69">
        <f>VLOOKUP($B20,Ingredients!$A:$W,20,FALSE)*$D20/100</f>
        <v>0</v>
      </c>
      <c r="U20" s="68">
        <f>VLOOKUP($B20,Ingredients!$A:$W,21,FALSE)*$D20/100</f>
        <v>0</v>
      </c>
      <c r="V20" s="70">
        <f>VLOOKUP($B20,Ingredients!$A:$W,22,FALSE)*$D20/100</f>
        <v>0</v>
      </c>
      <c r="W20" s="67">
        <f>VLOOKUP($B20,Ingredients!$A:$W,23,FALSE)*$D20/100</f>
        <v>0</v>
      </c>
    </row>
    <row r="21" spans="1:23" x14ac:dyDescent="0.35">
      <c r="A21">
        <v>8</v>
      </c>
      <c r="B21" s="14"/>
      <c r="C21" s="35"/>
      <c r="D21" s="17"/>
      <c r="E21" s="36"/>
      <c r="F21" s="36"/>
      <c r="G21" s="67"/>
      <c r="H21" s="67"/>
      <c r="I21" s="67"/>
      <c r="J21" s="68"/>
      <c r="K21" s="67"/>
      <c r="L21" s="67"/>
      <c r="M21" s="67"/>
      <c r="N21" s="67"/>
      <c r="O21" s="67"/>
      <c r="P21" s="73"/>
      <c r="Q21" s="73"/>
      <c r="R21" s="73"/>
      <c r="S21" s="73"/>
      <c r="T21" s="69"/>
      <c r="U21" s="68"/>
      <c r="V21" s="70"/>
      <c r="W21" s="67"/>
    </row>
    <row r="22" spans="1:23" x14ac:dyDescent="0.35">
      <c r="A22">
        <v>9</v>
      </c>
      <c r="B22" s="14"/>
      <c r="C22" s="35"/>
      <c r="D22" s="17"/>
      <c r="E22" s="36"/>
      <c r="F22" s="36"/>
      <c r="G22" s="67"/>
      <c r="H22" s="67"/>
      <c r="I22" s="67"/>
      <c r="J22" s="68"/>
      <c r="K22" s="67"/>
      <c r="L22" s="67"/>
      <c r="M22" s="67"/>
      <c r="N22" s="67"/>
      <c r="O22" s="67"/>
      <c r="P22" s="73"/>
      <c r="Q22" s="73"/>
      <c r="R22" s="73"/>
      <c r="S22" s="73"/>
      <c r="T22" s="69"/>
      <c r="U22" s="68"/>
      <c r="V22" s="70"/>
      <c r="W22" s="67"/>
    </row>
    <row r="23" spans="1:23" x14ac:dyDescent="0.35">
      <c r="A23">
        <v>10</v>
      </c>
      <c r="B23" s="14"/>
      <c r="C23" s="13"/>
      <c r="D23" s="17"/>
      <c r="E23" s="36"/>
      <c r="F23" s="36"/>
      <c r="G23" s="67"/>
      <c r="H23" s="67"/>
      <c r="I23" s="67"/>
      <c r="J23" s="68"/>
      <c r="K23" s="67"/>
      <c r="L23" s="67"/>
      <c r="M23" s="67"/>
      <c r="N23" s="67"/>
      <c r="O23" s="67"/>
      <c r="P23" s="73"/>
      <c r="Q23" s="73"/>
      <c r="R23" s="73"/>
      <c r="S23" s="73"/>
      <c r="T23" s="69"/>
      <c r="U23" s="68"/>
      <c r="V23" s="70"/>
      <c r="W23" s="67"/>
    </row>
    <row r="24" spans="1:23" x14ac:dyDescent="0.35">
      <c r="A24">
        <v>11</v>
      </c>
      <c r="B24" s="14"/>
      <c r="C24" s="13"/>
      <c r="D24" s="17"/>
      <c r="E24" s="36"/>
      <c r="F24" s="36"/>
      <c r="G24" s="67"/>
      <c r="H24" s="67"/>
      <c r="I24" s="67"/>
      <c r="J24" s="68"/>
      <c r="K24" s="67"/>
      <c r="L24" s="67"/>
      <c r="M24" s="67"/>
      <c r="N24" s="67"/>
      <c r="O24" s="67"/>
      <c r="P24" s="73"/>
      <c r="Q24" s="73"/>
      <c r="R24" s="73"/>
      <c r="S24" s="73"/>
      <c r="T24" s="69"/>
      <c r="U24" s="68"/>
      <c r="V24" s="70"/>
      <c r="W24" s="67"/>
    </row>
    <row r="25" spans="1:23" x14ac:dyDescent="0.35">
      <c r="A25">
        <v>12</v>
      </c>
      <c r="B25" s="14"/>
      <c r="C25" s="13"/>
      <c r="D25" s="17"/>
      <c r="E25" s="36"/>
      <c r="F25" s="36"/>
      <c r="G25" s="67"/>
      <c r="H25" s="67"/>
      <c r="I25" s="67"/>
      <c r="J25" s="68"/>
      <c r="K25" s="67"/>
      <c r="L25" s="67"/>
      <c r="M25" s="67"/>
      <c r="N25" s="67"/>
      <c r="O25" s="67"/>
      <c r="P25" s="73"/>
      <c r="Q25" s="73"/>
      <c r="R25" s="73"/>
      <c r="S25" s="73"/>
      <c r="T25" s="69"/>
      <c r="U25" s="68"/>
      <c r="V25" s="70"/>
      <c r="W25" s="67"/>
    </row>
    <row r="26" spans="1:23" x14ac:dyDescent="0.35">
      <c r="A26">
        <v>13</v>
      </c>
      <c r="B26" s="14"/>
      <c r="C26" s="13"/>
      <c r="D26" s="17"/>
      <c r="E26" s="36"/>
      <c r="F26" s="36"/>
      <c r="G26" s="67"/>
      <c r="H26" s="67"/>
      <c r="I26" s="67"/>
      <c r="J26" s="68"/>
      <c r="K26" s="67"/>
      <c r="L26" s="67"/>
      <c r="M26" s="67"/>
      <c r="N26" s="67"/>
      <c r="O26" s="67"/>
      <c r="P26" s="73"/>
      <c r="Q26" s="73"/>
      <c r="R26" s="73"/>
      <c r="S26" s="73"/>
      <c r="T26" s="69"/>
      <c r="U26" s="68"/>
      <c r="V26" s="70"/>
      <c r="W26" s="67"/>
    </row>
    <row r="27" spans="1:23" x14ac:dyDescent="0.35">
      <c r="A27">
        <v>14</v>
      </c>
      <c r="B27" s="14"/>
      <c r="C27" s="13"/>
      <c r="D27" s="17"/>
      <c r="E27" s="36"/>
      <c r="F27" s="36"/>
      <c r="G27" s="67"/>
      <c r="H27" s="67"/>
      <c r="I27" s="67"/>
      <c r="J27" s="68"/>
      <c r="K27" s="67"/>
      <c r="L27" s="67"/>
      <c r="M27" s="67"/>
      <c r="N27" s="67"/>
      <c r="O27" s="67"/>
      <c r="P27" s="73"/>
      <c r="Q27" s="73"/>
      <c r="R27" s="73"/>
      <c r="S27" s="73"/>
      <c r="T27" s="69"/>
      <c r="U27" s="68"/>
      <c r="V27" s="70"/>
      <c r="W27" s="67"/>
    </row>
    <row r="28" spans="1:23" x14ac:dyDescent="0.35">
      <c r="A28">
        <v>15</v>
      </c>
      <c r="B28" s="14"/>
      <c r="C28" s="13"/>
      <c r="D28" s="17"/>
      <c r="E28" s="36"/>
      <c r="F28" s="36"/>
      <c r="G28" s="67"/>
      <c r="H28" s="67"/>
      <c r="I28" s="67"/>
      <c r="J28" s="68"/>
      <c r="K28" s="67"/>
      <c r="L28" s="67"/>
      <c r="M28" s="67"/>
      <c r="N28" s="67"/>
      <c r="O28" s="67"/>
      <c r="P28" s="73"/>
      <c r="Q28" s="73"/>
      <c r="R28" s="73"/>
      <c r="S28" s="73"/>
      <c r="T28" s="69"/>
      <c r="U28" s="68"/>
      <c r="V28" s="70"/>
      <c r="W28" s="67"/>
    </row>
    <row r="29" spans="1:23" x14ac:dyDescent="0.35">
      <c r="A29">
        <v>16</v>
      </c>
      <c r="B29" s="14"/>
      <c r="C29" s="13"/>
      <c r="D29" s="17"/>
      <c r="E29" s="15"/>
      <c r="F29" s="15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</row>
    <row r="30" spans="1:23" x14ac:dyDescent="0.35">
      <c r="A30">
        <v>17</v>
      </c>
      <c r="B30" s="14"/>
      <c r="C30" s="13"/>
      <c r="D30" s="17"/>
      <c r="E30" s="15"/>
      <c r="F30" s="15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</row>
    <row r="31" spans="1:23" x14ac:dyDescent="0.35">
      <c r="A31">
        <v>18</v>
      </c>
      <c r="B31" s="14"/>
      <c r="C31" s="13"/>
      <c r="D31" s="17"/>
      <c r="E31" s="15"/>
      <c r="F31" s="15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</row>
    <row r="32" spans="1:23" x14ac:dyDescent="0.35">
      <c r="A32">
        <v>19</v>
      </c>
      <c r="B32" s="14"/>
      <c r="C32" s="13"/>
      <c r="D32" s="17"/>
      <c r="E32" s="15"/>
      <c r="F32" s="15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</row>
    <row r="33" spans="1:23" x14ac:dyDescent="0.35">
      <c r="A33">
        <v>20</v>
      </c>
      <c r="B33" s="14"/>
      <c r="C33" s="13"/>
      <c r="D33" s="17"/>
      <c r="E33" s="15"/>
      <c r="F33" s="15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</row>
    <row r="34" spans="1:23" x14ac:dyDescent="0.35">
      <c r="A34">
        <v>21</v>
      </c>
      <c r="B34" s="14"/>
      <c r="C34" s="13"/>
      <c r="D34" s="17"/>
      <c r="E34" s="15"/>
      <c r="F34" s="15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</row>
  </sheetData>
  <mergeCells count="1">
    <mergeCell ref="E9:W9"/>
  </mergeCells>
  <pageMargins left="0.7" right="0.7" top="0.75" bottom="0.75" header="0.3" footer="0.3"/>
  <pageSetup orientation="portrait" r:id="rId1"/>
  <headerFooter>
    <oddHeader>&amp;R&amp;"Calibri"&amp;10&amp;K000000Highly Restricted&amp;1#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490037-BF3D-47C4-B43C-760D5263ABB9}">
          <x14:formula1>
            <xm:f>Ingredients!$A$3:$A$1048576</xm:f>
          </x14:formula1>
          <xm:sqref>B14:B34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0535E-3678-4171-883A-DAEDF6FE7E78}">
  <dimension ref="A1:K46"/>
  <sheetViews>
    <sheetView topLeftCell="A6" zoomScale="60" zoomScaleNormal="60" workbookViewId="0">
      <selection activeCell="C34" sqref="C34"/>
    </sheetView>
  </sheetViews>
  <sheetFormatPr defaultColWidth="9.1796875" defaultRowHeight="14.5" x14ac:dyDescent="0.35"/>
  <cols>
    <col min="1" max="1" width="17.453125" bestFit="1" customWidth="1"/>
    <col min="2" max="2" width="6.453125" bestFit="1" customWidth="1"/>
    <col min="3" max="3" width="30.54296875" bestFit="1" customWidth="1"/>
    <col min="4" max="4" width="33" customWidth="1"/>
    <col min="5" max="5" width="31.54296875" bestFit="1" customWidth="1"/>
    <col min="6" max="6" width="26.453125" customWidth="1"/>
    <col min="7" max="7" width="27.1796875" customWidth="1"/>
    <col min="8" max="8" width="23.54296875" customWidth="1"/>
    <col min="9" max="9" width="6.81640625" bestFit="1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.81640625" bestFit="1" customWidth="1"/>
    <col min="14" max="14" width="8.1796875" bestFit="1" customWidth="1"/>
    <col min="15" max="15" width="9.453125" bestFit="1" customWidth="1"/>
    <col min="16" max="16" width="8.1796875" bestFit="1" customWidth="1"/>
    <col min="17" max="17" width="7.54296875" bestFit="1" customWidth="1"/>
  </cols>
  <sheetData>
    <row r="1" spans="1:9" x14ac:dyDescent="0.35">
      <c r="A1" s="13" t="s">
        <v>36</v>
      </c>
    </row>
    <row r="2" spans="1:9" x14ac:dyDescent="0.35">
      <c r="A2" t="s">
        <v>94</v>
      </c>
      <c r="B2" s="13" t="s">
        <v>87</v>
      </c>
      <c r="D2" t="str">
        <f>A2&amp;" "&amp; B2</f>
        <v>Formulation STOF2</v>
      </c>
      <c r="G2" cm="1">
        <f t="array" aca="1" ref="G2" ca="1">INDIRECT("'"&amp;D2&amp;"'!C7")</f>
        <v>11.6</v>
      </c>
      <c r="H2" t="s">
        <v>46</v>
      </c>
      <c r="I2" t="s">
        <v>99</v>
      </c>
    </row>
    <row r="3" spans="1:9" x14ac:dyDescent="0.35">
      <c r="A3" t="str">
        <f>'Formulation STOF2'!B6</f>
        <v>Smooth Texture Sugar Free Orange Natural Dyes</v>
      </c>
      <c r="D3" t="s">
        <v>44</v>
      </c>
      <c r="E3" t="s">
        <v>45</v>
      </c>
      <c r="G3" s="27" cm="1">
        <f t="array" aca="1" ref="G3" ca="1">INDIRECT("'"&amp;D2&amp;"'!D6")</f>
        <v>11.649202000000001</v>
      </c>
      <c r="H3" t="s">
        <v>46</v>
      </c>
      <c r="I3" t="s">
        <v>100</v>
      </c>
    </row>
    <row r="5" spans="1:9" ht="15.5" x14ac:dyDescent="0.35">
      <c r="A5" s="146" t="s">
        <v>104</v>
      </c>
      <c r="B5" t="s">
        <v>101</v>
      </c>
      <c r="C5" s="18">
        <f ca="1">(4*F24)+(4*C10)+(9*C31)</f>
        <v>43.07606585944</v>
      </c>
      <c r="D5" s="50" t="s">
        <v>95</v>
      </c>
      <c r="E5" s="74" t="s">
        <v>96</v>
      </c>
      <c r="F5" s="74" t="s">
        <v>98</v>
      </c>
    </row>
    <row r="6" spans="1:9" ht="15.5" x14ac:dyDescent="0.35">
      <c r="A6" s="146"/>
      <c r="B6" t="s">
        <v>102</v>
      </c>
      <c r="C6" s="18">
        <f ca="1">(4*F24)+(9*C31)+(4*(C10-D10))+(2*D10)</f>
        <v>32.198593203439998</v>
      </c>
      <c r="D6" s="50" t="s">
        <v>95</v>
      </c>
      <c r="E6" s="74" t="s">
        <v>97</v>
      </c>
      <c r="F6" s="74" t="s">
        <v>115</v>
      </c>
    </row>
    <row r="7" spans="1:9" ht="15.5" x14ac:dyDescent="0.35">
      <c r="A7" s="146"/>
      <c r="B7" t="s">
        <v>103</v>
      </c>
      <c r="C7" s="18">
        <f ca="1">(4*F24)+(9*C31)+(4*(C10-D10))+(2*E10)</f>
        <v>30.470830507440002</v>
      </c>
      <c r="D7" s="50" t="s">
        <v>95</v>
      </c>
      <c r="E7" s="74" t="s">
        <v>97</v>
      </c>
      <c r="F7" s="74" t="s">
        <v>116</v>
      </c>
    </row>
    <row r="8" spans="1:9" s="51" customFormat="1" ht="7" customHeight="1" x14ac:dyDescent="0.35">
      <c r="C8" s="52"/>
      <c r="D8" s="53"/>
      <c r="E8" s="53"/>
    </row>
    <row r="9" spans="1:9" ht="30" customHeight="1" x14ac:dyDescent="0.35">
      <c r="A9" s="150" t="s">
        <v>49</v>
      </c>
      <c r="B9" s="18"/>
      <c r="C9" s="1" t="str">
        <f ca="1">'Nutrition STONF'!C9</f>
        <v>Total carbohydrate</v>
      </c>
      <c r="D9" s="1" t="str">
        <f ca="1">'Nutrition STONF'!D9</f>
        <v>Total dietary fiber</v>
      </c>
      <c r="E9" s="1" t="str">
        <f ca="1">'Nutrition STONF'!E9</f>
        <v>Soluble fiber</v>
      </c>
    </row>
    <row r="10" spans="1:9" x14ac:dyDescent="0.35">
      <c r="A10" s="150"/>
      <c r="B10" s="18" t="s">
        <v>50</v>
      </c>
      <c r="C10" s="21" cm="1">
        <f t="array" aca="1" ref="C10" ca="1">INDIRECT("'"&amp;D2&amp;"'!K8")</f>
        <v>10.3692870264</v>
      </c>
      <c r="D10" s="21" cm="1">
        <f t="array" aca="1" ref="D10" ca="1">INDIRECT("'"&amp;D2&amp;"'!L8")</f>
        <v>5.4387363279999992</v>
      </c>
      <c r="E10" s="21" cm="1">
        <f t="array" aca="1" ref="E10" ca="1">INDIRECT("'"&amp;D2&amp;"'!M8")</f>
        <v>4.5748549799999996</v>
      </c>
    </row>
    <row r="11" spans="1:9" x14ac:dyDescent="0.35">
      <c r="A11" s="150"/>
      <c r="B11" s="18" t="s">
        <v>51</v>
      </c>
      <c r="C11" s="1">
        <f>'Nutrition STONF'!C11</f>
        <v>275</v>
      </c>
      <c r="D11" s="1">
        <f>'Nutrition STONF'!D11</f>
        <v>28</v>
      </c>
      <c r="E11" s="1" t="str">
        <f>'Nutrition STONF'!E11</f>
        <v>NA</v>
      </c>
    </row>
    <row r="12" spans="1:9" x14ac:dyDescent="0.35">
      <c r="A12" s="150"/>
      <c r="B12" s="18" t="s">
        <v>53</v>
      </c>
      <c r="C12" s="26">
        <f ca="1">C10/C11</f>
        <v>3.7706498277818183E-2</v>
      </c>
      <c r="D12" s="26">
        <f ca="1">D10/D11</f>
        <v>0.19424058314285711</v>
      </c>
      <c r="E12" s="26" t="s">
        <v>52</v>
      </c>
    </row>
    <row r="13" spans="1:9" ht="127" customHeight="1" x14ac:dyDescent="0.35">
      <c r="A13" s="150"/>
      <c r="B13" s="18"/>
      <c r="C13" s="1" t="str">
        <f>'Nutrition STONF'!C13</f>
        <v>&lt; 0.5g - express as 0
&lt; 1g - express as "contains less than 1g" or "less than 1g"
≥1g - express to nearest 1g increment
Insignificant amount is &lt; 1g</v>
      </c>
      <c r="D13" s="1" t="str">
        <f>'Nutrition STONF'!D13</f>
        <v>&lt; 0.5g - express as 0
&lt; 1g - express as "contains less than 1g" or "less than 1g"
≥1g - express to nearest 1g increment
Insignificant amount is &lt; 1g</v>
      </c>
      <c r="E13" s="1" t="str">
        <f>'Nutrition STONF'!E13</f>
        <v>- Label value  based on calculation of psyllium being 70% soluble fiber (3.4g psyllium * 0.70 = 2.4g)
&lt; 0.5g - express as 0
&lt; 1g - express as "contains less than 1g" or "less than 1g"
≥1g - express to nearest 1g increment
Insignificant amount is &lt; 0.5g</v>
      </c>
    </row>
    <row r="14" spans="1:9" x14ac:dyDescent="0.35">
      <c r="A14" s="150"/>
      <c r="B14" s="18" t="s">
        <v>56</v>
      </c>
      <c r="C14" s="31" t="s">
        <v>57</v>
      </c>
      <c r="D14" s="31" t="s">
        <v>58</v>
      </c>
      <c r="E14" s="31" t="s">
        <v>59</v>
      </c>
    </row>
    <row r="16" spans="1:9" x14ac:dyDescent="0.35">
      <c r="A16" s="150" t="s">
        <v>49</v>
      </c>
      <c r="B16" s="18"/>
      <c r="C16" s="1" t="str">
        <f>'Nutrition STONF'!C16</f>
        <v>Iron [Mandatory]</v>
      </c>
      <c r="D16" s="1" t="str">
        <f>'Nutrition STONF'!D16</f>
        <v>Potassium [Mandatory]</v>
      </c>
      <c r="E16" s="1" t="str">
        <f>'Nutrition STONF'!E16</f>
        <v>Calcium [Mandatory]</v>
      </c>
    </row>
    <row r="17" spans="1:8" x14ac:dyDescent="0.35">
      <c r="A17" s="150"/>
      <c r="B17" s="18" t="s">
        <v>50</v>
      </c>
      <c r="C17" s="22" cm="1">
        <f t="array" aca="1" ref="C17" ca="1">INDIRECT("'"&amp;D2&amp;"'!P8")</f>
        <v>0.5246873487999999</v>
      </c>
      <c r="D17" s="22" cm="1">
        <f t="array" aca="1" ref="D17" ca="1">INDIRECT("'"&amp;D2&amp;"'!Q8")</f>
        <v>55.013045588000004</v>
      </c>
      <c r="E17" s="22" cm="1">
        <f t="array" aca="1" ref="E17" ca="1">INDIRECT("'"&amp;D2&amp;"'!S8")</f>
        <v>11.750375729999998</v>
      </c>
    </row>
    <row r="18" spans="1:8" x14ac:dyDescent="0.35">
      <c r="A18" s="150"/>
      <c r="B18" s="18" t="s">
        <v>51</v>
      </c>
      <c r="C18" s="1">
        <f>'Nutrition STONF'!C18</f>
        <v>18</v>
      </c>
      <c r="D18" s="1">
        <f>'Nutrition STONF'!D18</f>
        <v>4700</v>
      </c>
      <c r="E18" s="1">
        <f>'Nutrition STONF'!E18</f>
        <v>1300</v>
      </c>
    </row>
    <row r="19" spans="1:8" x14ac:dyDescent="0.35">
      <c r="A19" s="150"/>
      <c r="B19" s="18" t="s">
        <v>53</v>
      </c>
      <c r="C19" s="26">
        <f ca="1">C17/C18</f>
        <v>2.9149297155555549E-2</v>
      </c>
      <c r="D19" s="26">
        <f t="shared" ref="D19:E19" ca="1" si="0">D17/D18</f>
        <v>1.1704903316595745E-2</v>
      </c>
      <c r="E19" s="26">
        <f t="shared" ca="1" si="0"/>
        <v>9.0387505615384597E-3</v>
      </c>
    </row>
    <row r="20" spans="1:8" ht="39" x14ac:dyDescent="0.35">
      <c r="A20" s="150"/>
      <c r="B20" s="18"/>
      <c r="C20" s="1" t="str">
        <f>'Nutrition STONF'!C20</f>
        <v>&lt;2% DV: shall not be declared 
&gt; 2% DV: round to nearest 0.1 mg and round to nearest % DV</v>
      </c>
      <c r="D20" s="1" t="str">
        <f>'Nutrition STONF'!D20</f>
        <v>&lt;2% DV: shall not be declared 
&gt; 2% DV: round to nearest 10 mg and round to nearest % DV</v>
      </c>
      <c r="E20" s="1" t="str">
        <f>'Nutrition STONF'!E20</f>
        <v>&lt;2% DV: shall not be declared 
&gt; 2% DV: round to nearest 10 mg and round to nearest % DV</v>
      </c>
      <c r="G20">
        <f>0.02*4700</f>
        <v>94</v>
      </c>
      <c r="H20">
        <f>60*1.2</f>
        <v>72</v>
      </c>
    </row>
    <row r="21" spans="1:8" ht="29" x14ac:dyDescent="0.35">
      <c r="A21" s="150"/>
      <c r="B21" s="18" t="s">
        <v>56</v>
      </c>
      <c r="C21" s="31" t="s">
        <v>140</v>
      </c>
      <c r="D21" s="31" t="s">
        <v>60</v>
      </c>
      <c r="E21" s="31" t="s">
        <v>160</v>
      </c>
    </row>
    <row r="23" spans="1:8" x14ac:dyDescent="0.35">
      <c r="A23" s="150" t="s">
        <v>49</v>
      </c>
      <c r="B23" s="18"/>
      <c r="C23" s="1" t="str">
        <f>'Nutrition STONF'!C23</f>
        <v>Vitamin A [Voluntary]</v>
      </c>
      <c r="D23" s="1" t="str">
        <f>'Nutrition STONF'!D23</f>
        <v>Vitamin C [Voluntary]</v>
      </c>
      <c r="E23" s="1" t="str">
        <f>'Nutrition STONF'!E23</f>
        <v>Vitamin D [Mandatory]</v>
      </c>
      <c r="F23" s="19" t="str" cm="1">
        <f t="array" aca="1" ref="F23" ca="1">INDIRECT("'"&amp;D2&amp;"'!W13")</f>
        <v>Protein</v>
      </c>
    </row>
    <row r="24" spans="1:8" x14ac:dyDescent="0.35">
      <c r="A24" s="150"/>
      <c r="B24" s="18" t="s">
        <v>50</v>
      </c>
      <c r="C24" s="23" cm="1">
        <f t="array" aca="1" ref="C24" ca="1">INDIRECT("'"&amp;D2&amp;"'!T8")</f>
        <v>0.75477024000000004</v>
      </c>
      <c r="D24" s="24" cm="1">
        <f t="array" aca="1" ref="D24" ca="1">INDIRECT("'"&amp;D2&amp;"'!U8")</f>
        <v>2.5171999999999998E-4</v>
      </c>
      <c r="E24" s="24" cm="1">
        <f t="array" aca="1" ref="E24" ca="1">INDIRECT("'"&amp;D2&amp;"'!V8")</f>
        <v>0</v>
      </c>
      <c r="F24" s="21" cm="1">
        <f t="array" aca="1" ref="F24" ca="1">INDIRECT("'"&amp;D2&amp;"'!W8")</f>
        <v>0.23270068755999998</v>
      </c>
    </row>
    <row r="25" spans="1:8" x14ac:dyDescent="0.35">
      <c r="A25" s="150"/>
      <c r="B25" s="18" t="s">
        <v>51</v>
      </c>
      <c r="C25" s="1" t="str">
        <f>'Nutrition STONF'!C25</f>
        <v>900 mcg RAE</v>
      </c>
      <c r="D25" s="1">
        <f>'Nutrition STONF'!D25</f>
        <v>90</v>
      </c>
      <c r="E25" s="1" t="str">
        <f>'Nutrition STONF'!E25</f>
        <v>20 microgram</v>
      </c>
      <c r="F25" s="1" t="str">
        <f>'Nutrition STONF'!F25</f>
        <v>NA</v>
      </c>
    </row>
    <row r="26" spans="1:8" x14ac:dyDescent="0.35">
      <c r="A26" s="150"/>
      <c r="B26" s="18" t="s">
        <v>53</v>
      </c>
      <c r="C26" s="26" t="s">
        <v>52</v>
      </c>
      <c r="D26" s="26" t="s">
        <v>52</v>
      </c>
      <c r="E26" s="26">
        <f ca="1">E24/20</f>
        <v>0</v>
      </c>
      <c r="F26" s="26" t="s">
        <v>52</v>
      </c>
    </row>
    <row r="27" spans="1:8" ht="78" x14ac:dyDescent="0.35">
      <c r="A27" s="150"/>
      <c r="B27" s="18"/>
      <c r="C27" s="1" t="str">
        <f>'Nutrition STONF'!C27</f>
        <v>&lt;2% DV: shall not be declared 
&gt; 2% DV: round to nearest 10 mcg RAE and round to nearest % DV</v>
      </c>
      <c r="D27" s="1" t="str">
        <f>'Nutrition STONF'!D27</f>
        <v>&lt;2% DV: shall not be declared 
&gt; 2% DV: round to nearest 1 mg and round to nearest % DV</v>
      </c>
      <c r="E27" s="1" t="str">
        <f>'Nutrition STONF'!E27</f>
        <v>&lt;2% DV: shall not be declared 
&gt; 2% DV: round to nearest 0.1 mcg and round to nearest % DV</v>
      </c>
      <c r="F27" s="1" t="str">
        <f>'Nutrition STONF'!F27</f>
        <v>&lt; 0.5g - express as 0
&lt; 1g - express as "contains less than 1g" or "less than 1g"
≥1g - express to nearest 1g increment
Insignificant amount is &lt; 0.5g</v>
      </c>
    </row>
    <row r="28" spans="1:8" x14ac:dyDescent="0.35">
      <c r="A28" s="150"/>
      <c r="B28" s="18" t="s">
        <v>56</v>
      </c>
      <c r="C28" s="31" t="s">
        <v>61</v>
      </c>
      <c r="D28" s="31" t="s">
        <v>62</v>
      </c>
      <c r="E28" s="105">
        <v>0</v>
      </c>
      <c r="F28" s="31" t="s">
        <v>63</v>
      </c>
    </row>
    <row r="30" spans="1:8" x14ac:dyDescent="0.35">
      <c r="A30" s="149" t="s">
        <v>64</v>
      </c>
      <c r="B30" s="18"/>
      <c r="C30" s="1" t="str">
        <f>'Nutrition STONF'!C30</f>
        <v>Total Fat</v>
      </c>
      <c r="D30" s="1" t="str">
        <f>'Nutrition STONF'!D30</f>
        <v>Saturated Fat</v>
      </c>
      <c r="E30" s="1" t="str">
        <f>'Nutrition STONF'!E30</f>
        <v>Trans Fat</v>
      </c>
      <c r="F30" s="1" t="str">
        <f>'Nutrition STONF'!F30</f>
        <v>Cholesterol</v>
      </c>
    </row>
    <row r="31" spans="1:8" x14ac:dyDescent="0.35">
      <c r="A31" s="149"/>
      <c r="B31" s="18" t="s">
        <v>50</v>
      </c>
      <c r="C31" s="21" cm="1">
        <f t="array" aca="1" ref="C31" ca="1">INDIRECT("'"&amp;D2&amp;"'!G8")</f>
        <v>7.4235000400000001E-2</v>
      </c>
      <c r="D31" s="21" cm="1">
        <f t="array" aca="1" ref="D31" ca="1">INDIRECT("'"&amp;D2&amp;"'!H8")</f>
        <v>1.231380136E-2</v>
      </c>
      <c r="E31" s="21" cm="1">
        <f t="array" aca="1" ref="E31" ca="1">INDIRECT("'"&amp;D2&amp;"'!I8")</f>
        <v>0</v>
      </c>
      <c r="F31" s="21" cm="1">
        <f t="array" aca="1" ref="F31" ca="1">INDIRECT("'"&amp;D2&amp;"'!J8")</f>
        <v>0</v>
      </c>
    </row>
    <row r="32" spans="1:8" x14ac:dyDescent="0.35">
      <c r="A32" s="149"/>
      <c r="B32" s="18" t="s">
        <v>51</v>
      </c>
      <c r="C32" s="1">
        <f>'Nutrition STONF'!C32</f>
        <v>78</v>
      </c>
      <c r="D32" s="1">
        <f>'Nutrition STONF'!D32</f>
        <v>20</v>
      </c>
      <c r="E32" s="1" t="str">
        <f>'Nutrition STONF'!E32</f>
        <v>NA</v>
      </c>
      <c r="F32" s="1" t="str">
        <f>'Nutrition STONF'!F32</f>
        <v>300 mg</v>
      </c>
    </row>
    <row r="33" spans="1:11" x14ac:dyDescent="0.35">
      <c r="A33" s="149"/>
      <c r="B33" s="18" t="s">
        <v>53</v>
      </c>
      <c r="C33" s="26" t="s">
        <v>52</v>
      </c>
      <c r="D33" s="26" t="s">
        <v>52</v>
      </c>
      <c r="E33" s="26" t="s">
        <v>52</v>
      </c>
      <c r="F33" s="26" t="s">
        <v>52</v>
      </c>
    </row>
    <row r="34" spans="1:11" ht="73.400000000000006" customHeight="1" x14ac:dyDescent="0.35">
      <c r="A34" s="149"/>
      <c r="B34" s="18"/>
      <c r="C34" s="1" t="str">
        <f>'Nutrition STONF'!C34</f>
        <v xml:space="preserve">&lt; 0.5g - express as 0
&lt; 5 g - nearest 0.5 g increment
&gt; 5 g: nearest 1 g increment
</v>
      </c>
      <c r="D34" s="1" t="str">
        <f>'Nutrition STONF'!D34</f>
        <v xml:space="preserve">&lt; 0.5g - express as 0
&lt; 5 g - nearest 0.5 g increment
&gt; 5 g: nearest 1 g increment
</v>
      </c>
      <c r="E34" s="1" t="str">
        <f>'Nutrition STONF'!E34</f>
        <v xml:space="preserve">&lt; 0.5g - express as 0
&lt; 5 g - nearest 0.5 g increment
&gt; 5 g: nearest 1 g increment
</v>
      </c>
      <c r="F34" s="1" t="str">
        <f>'Nutrition STONF'!F34</f>
        <v>&lt; 2mg: express as 0
2-5 mg: "less than 5 mg"
&gt; 5 mg: 5 mg increment</v>
      </c>
    </row>
    <row r="35" spans="1:11" x14ac:dyDescent="0.35">
      <c r="A35" s="149"/>
      <c r="B35" s="18" t="s">
        <v>56</v>
      </c>
      <c r="C35" s="31"/>
      <c r="D35" s="31"/>
      <c r="E35" s="31"/>
      <c r="F35" s="31"/>
    </row>
    <row r="37" spans="1:11" ht="30" customHeight="1" x14ac:dyDescent="0.35">
      <c r="A37" s="149" t="s">
        <v>64</v>
      </c>
      <c r="B37" s="18"/>
      <c r="C37" s="1" t="str">
        <f ca="1">'Nutrition STONF'!C37</f>
        <v>Calories (US Rules)</v>
      </c>
      <c r="D37" s="1" t="str">
        <f>'Nutrition STONF'!D37</f>
        <v>Calories from Fat</v>
      </c>
      <c r="E37" s="1" t="str">
        <f ca="1">'Nutrition STONF'!E37</f>
        <v xml:space="preserve">Sugar </v>
      </c>
      <c r="F37" s="1" t="str">
        <f ca="1">'Nutrition STONF'!F37</f>
        <v>Added Sugars</v>
      </c>
      <c r="G37" s="1" t="str">
        <f ca="1">'Nutrition STONF'!G37</f>
        <v>Sodium</v>
      </c>
    </row>
    <row r="38" spans="1:11" x14ac:dyDescent="0.35">
      <c r="A38" s="149"/>
      <c r="B38" s="18" t="s">
        <v>50</v>
      </c>
      <c r="C38" s="20" cm="1">
        <f t="array" aca="1" ref="C38" ca="1">INDIRECT("'"&amp;D2&amp;"'!E8")</f>
        <v>30.34974158512</v>
      </c>
      <c r="D38" s="20" cm="1">
        <f t="array" aca="1" ref="D38" ca="1">INDIRECT("'"&amp;D2&amp;"'!F8")</f>
        <v>0.35871204551999997</v>
      </c>
      <c r="E38" s="21" cm="1">
        <f t="array" aca="1" ref="E38" ca="1">INDIRECT("'"&amp;D2&amp;"'!N8")</f>
        <v>0.16369015199999998</v>
      </c>
      <c r="F38" s="21" cm="1">
        <f t="array" aca="1" ref="F38" ca="1">INDIRECT("'"&amp;D2&amp;"'!O8")</f>
        <v>1.5622996E-2</v>
      </c>
      <c r="G38" s="22" cm="1">
        <f t="array" aca="1" ref="G38" ca="1">INDIRECT("'"&amp;D2&amp;"'!R8")</f>
        <v>10.557583527599997</v>
      </c>
    </row>
    <row r="39" spans="1:11" x14ac:dyDescent="0.35">
      <c r="A39" s="149"/>
      <c r="B39" s="18"/>
      <c r="C39" s="1" t="str">
        <f>'Nutrition STONF'!C39</f>
        <v>NA</v>
      </c>
      <c r="D39" s="1" t="str">
        <f>'Nutrition STONF'!D39</f>
        <v>NA</v>
      </c>
      <c r="E39" s="1" t="str">
        <f>'Nutrition STONF'!E39</f>
        <v>NA</v>
      </c>
      <c r="F39" s="1">
        <f>'Nutrition STONF'!F39</f>
        <v>50</v>
      </c>
      <c r="G39" s="1">
        <f>'Nutrition STONF'!G39</f>
        <v>2300</v>
      </c>
    </row>
    <row r="40" spans="1:11" x14ac:dyDescent="0.35">
      <c r="A40" s="149"/>
      <c r="B40" s="18" t="s">
        <v>53</v>
      </c>
      <c r="C40" s="25" t="s">
        <v>52</v>
      </c>
      <c r="D40" s="25" t="s">
        <v>52</v>
      </c>
      <c r="E40" s="26" t="s">
        <v>52</v>
      </c>
      <c r="F40" s="26">
        <f t="shared" ref="F40:G40" ca="1" si="1">F38/F39</f>
        <v>3.1245992000000002E-4</v>
      </c>
      <c r="G40" s="26">
        <f t="shared" ca="1" si="1"/>
        <v>4.5902537076521728E-3</v>
      </c>
    </row>
    <row r="41" spans="1:11" ht="193.4" customHeight="1" x14ac:dyDescent="0.35">
      <c r="A41" s="149"/>
      <c r="B41" s="18"/>
      <c r="C41" s="1" t="str">
        <f>'Nutrition STONF'!C41</f>
        <v>&lt; 5 cal - express as 0
≤ 50 cal - express to nearest 5 cal increment
&gt; 50 cal - express to nearest 10 cal increment
Insignificant amount is &lt; 5 cal</v>
      </c>
      <c r="D41" s="1" t="str">
        <f>'Nutrition STONF'!D41</f>
        <v>Not required to be declared</v>
      </c>
      <c r="E41" s="1" t="str">
        <f>'Nutrition STONF'!E41</f>
        <v>&lt; 0.5g - express as 0
&lt; 1g - express as "contains less than 1g" or "less than 1g"
≥1g - express to nearest 1g increment
Insignificant amount is &lt; 0.5g</v>
      </c>
      <c r="F41" s="1" t="str">
        <f>'Nutrition STONF'!F41</f>
        <v>&lt; 0.5g - express as 0
&lt; 1g - express as "contains less than 1g" or "less than 1g"
≥1g - express to nearest 1g increment
Insignificant amount is &lt; 0.5g</v>
      </c>
      <c r="G41" s="1" t="str">
        <f>'Nutrition STONF'!G41</f>
        <v>&lt; 5mg - express as 0
5-140mg - express to nearest 5mg increment
&gt; 140mg - express to nearest 10mg increment
Insignificant amount is &lt; 5mg</v>
      </c>
      <c r="K41" s="32"/>
    </row>
    <row r="42" spans="1:11" x14ac:dyDescent="0.35">
      <c r="A42" s="149"/>
      <c r="B42" s="18" t="s">
        <v>56</v>
      </c>
      <c r="C42" s="31" t="s">
        <v>161</v>
      </c>
      <c r="D42" s="31">
        <v>0</v>
      </c>
      <c r="E42" s="30">
        <v>0</v>
      </c>
      <c r="F42" s="31">
        <v>0</v>
      </c>
      <c r="G42" s="31" t="s">
        <v>67</v>
      </c>
      <c r="K42" s="33"/>
    </row>
    <row r="43" spans="1:11" x14ac:dyDescent="0.35">
      <c r="A43" s="29"/>
      <c r="D43" s="28"/>
      <c r="K43" s="34"/>
    </row>
    <row r="44" spans="1:11" x14ac:dyDescent="0.35">
      <c r="D44" s="28"/>
      <c r="K44" s="34"/>
    </row>
    <row r="45" spans="1:11" x14ac:dyDescent="0.35">
      <c r="D45" s="28"/>
    </row>
    <row r="46" spans="1:11" x14ac:dyDescent="0.35">
      <c r="D46" s="28"/>
    </row>
  </sheetData>
  <mergeCells count="6">
    <mergeCell ref="A37:A42"/>
    <mergeCell ref="A5:A7"/>
    <mergeCell ref="A9:A14"/>
    <mergeCell ref="A16:A21"/>
    <mergeCell ref="A23:A28"/>
    <mergeCell ref="A30:A35"/>
  </mergeCells>
  <pageMargins left="0.7" right="0.7" top="0.75" bottom="0.75" header="0.3" footer="0.3"/>
  <pageSetup orientation="portrait" r:id="rId1"/>
  <headerFooter>
    <oddHeader>&amp;R&amp;"Calibri"&amp;10&amp;K000000Highly Restricted&amp;1#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1E499-2715-40C0-8ABB-061CF84EA3FE}">
  <dimension ref="A1:W34"/>
  <sheetViews>
    <sheetView zoomScaleNormal="100" workbookViewId="0">
      <selection activeCell="D7" sqref="D7"/>
    </sheetView>
  </sheetViews>
  <sheetFormatPr defaultRowHeight="14.5" x14ac:dyDescent="0.35"/>
  <cols>
    <col min="1" max="1" width="3" bestFit="1" customWidth="1"/>
    <col min="2" max="2" width="20.1796875" bestFit="1" customWidth="1"/>
    <col min="3" max="3" width="13.1796875" bestFit="1" customWidth="1"/>
    <col min="4" max="4" width="16.453125" bestFit="1" customWidth="1"/>
    <col min="5" max="6" width="12.6328125" customWidth="1"/>
    <col min="7" max="23" width="12.6328125" style="66" customWidth="1"/>
  </cols>
  <sheetData>
    <row r="1" spans="1:23" s="44" customFormat="1" x14ac:dyDescent="0.35">
      <c r="B1" s="45" t="s">
        <v>88</v>
      </c>
      <c r="C1" s="46">
        <v>46078</v>
      </c>
      <c r="D1" s="47" t="s">
        <v>89</v>
      </c>
      <c r="E1" s="45" t="s">
        <v>90</v>
      </c>
      <c r="F1" s="47" t="s">
        <v>91</v>
      </c>
      <c r="G1" s="64" t="s">
        <v>92</v>
      </c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</row>
    <row r="2" spans="1:23" x14ac:dyDescent="0.35">
      <c r="B2" t="s">
        <v>35</v>
      </c>
    </row>
    <row r="3" spans="1:23" x14ac:dyDescent="0.35">
      <c r="B3" s="13" t="s">
        <v>36</v>
      </c>
    </row>
    <row r="4" spans="1:23" x14ac:dyDescent="0.35">
      <c r="B4" t="s">
        <v>37</v>
      </c>
      <c r="D4" s="37"/>
    </row>
    <row r="5" spans="1:23" x14ac:dyDescent="0.35">
      <c r="B5" t="s">
        <v>38</v>
      </c>
      <c r="C5" t="s">
        <v>3</v>
      </c>
      <c r="D5" s="13" t="s">
        <v>117</v>
      </c>
    </row>
    <row r="6" spans="1:23" ht="15" thickBot="1" x14ac:dyDescent="0.4">
      <c r="B6" s="13" t="s">
        <v>93</v>
      </c>
      <c r="C6" s="13">
        <v>5.8</v>
      </c>
      <c r="D6">
        <f>C6*2</f>
        <v>11.6</v>
      </c>
    </row>
    <row r="7" spans="1:23" ht="15" thickBot="1" x14ac:dyDescent="0.4">
      <c r="B7" s="62" t="s">
        <v>114</v>
      </c>
      <c r="C7" s="63">
        <v>11.6</v>
      </c>
      <c r="E7" t="s">
        <v>113</v>
      </c>
    </row>
    <row r="8" spans="1:23" ht="27" customHeight="1" x14ac:dyDescent="0.35">
      <c r="B8" s="10" t="s">
        <v>39</v>
      </c>
      <c r="C8" s="11">
        <f>SUM(C14:C34)</f>
        <v>1.00003</v>
      </c>
      <c r="D8" s="16">
        <f>SUM(D14:D21)</f>
        <v>11.600347999999999</v>
      </c>
      <c r="E8" s="76">
        <f ca="1">'Nutrition STOF'!C7</f>
        <v>30.34974158512</v>
      </c>
      <c r="F8" s="76">
        <f t="shared" ref="F8:W8" si="0">SUM(F14:F34)</f>
        <v>0.28164952655999997</v>
      </c>
      <c r="G8" s="67">
        <f t="shared" si="0"/>
        <v>6.5818144799999992E-2</v>
      </c>
      <c r="H8" s="67">
        <f t="shared" si="0"/>
        <v>1.081763568E-2</v>
      </c>
      <c r="I8" s="67">
        <f t="shared" si="0"/>
        <v>0</v>
      </c>
      <c r="J8" s="68">
        <f>SUM(J14:J34)</f>
        <v>0</v>
      </c>
      <c r="K8" s="67">
        <f t="shared" si="0"/>
        <v>10.369568859999999</v>
      </c>
      <c r="L8" s="67">
        <f t="shared" si="0"/>
        <v>5.4617769439999986</v>
      </c>
      <c r="M8" s="67">
        <f t="shared" si="0"/>
        <v>4.5942368399999989</v>
      </c>
      <c r="N8" s="67">
        <f t="shared" si="0"/>
        <v>0.14867638799999996</v>
      </c>
      <c r="O8" s="67">
        <f>SUM(O14:O34)</f>
        <v>0</v>
      </c>
      <c r="P8" s="73">
        <f t="shared" si="0"/>
        <v>0.52689624400000001</v>
      </c>
      <c r="Q8" s="73">
        <f t="shared" si="0"/>
        <v>55.240542119999986</v>
      </c>
      <c r="R8" s="73">
        <f t="shared" si="0"/>
        <v>10.819254227999997</v>
      </c>
      <c r="S8" s="73">
        <f t="shared" si="0"/>
        <v>11.798921741599997</v>
      </c>
      <c r="T8" s="69">
        <f t="shared" si="0"/>
        <v>0</v>
      </c>
      <c r="U8" s="68">
        <f t="shared" si="0"/>
        <v>0</v>
      </c>
      <c r="V8" s="70">
        <f t="shared" si="0"/>
        <v>0</v>
      </c>
      <c r="W8" s="67">
        <f t="shared" si="0"/>
        <v>0.23443423448</v>
      </c>
    </row>
    <row r="9" spans="1:23" x14ac:dyDescent="0.35">
      <c r="E9" s="148" t="s">
        <v>40</v>
      </c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</row>
    <row r="10" spans="1:23" x14ac:dyDescent="0.35">
      <c r="B10" t="s">
        <v>112</v>
      </c>
      <c r="C10" s="37">
        <v>2</v>
      </c>
      <c r="D10" s="61">
        <f>C6*2</f>
        <v>11.6</v>
      </c>
      <c r="E10" s="76">
        <f ca="1">E8*$C$10</f>
        <v>60.699483170240001</v>
      </c>
      <c r="F10" s="76">
        <f t="shared" ref="F10:W10" si="1">F8*$C$10</f>
        <v>0.56329905311999995</v>
      </c>
      <c r="G10" s="67">
        <f t="shared" si="1"/>
        <v>0.13163628959999998</v>
      </c>
      <c r="H10" s="67">
        <f t="shared" si="1"/>
        <v>2.163527136E-2</v>
      </c>
      <c r="I10" s="67">
        <f t="shared" si="1"/>
        <v>0</v>
      </c>
      <c r="J10" s="68">
        <f t="shared" si="1"/>
        <v>0</v>
      </c>
      <c r="K10" s="67">
        <f t="shared" si="1"/>
        <v>20.739137719999999</v>
      </c>
      <c r="L10" s="67">
        <f t="shared" si="1"/>
        <v>10.923553887999997</v>
      </c>
      <c r="M10" s="67">
        <f t="shared" si="1"/>
        <v>9.1884736799999978</v>
      </c>
      <c r="N10" s="67">
        <f t="shared" si="1"/>
        <v>0.29735277599999993</v>
      </c>
      <c r="O10" s="67">
        <f t="shared" si="1"/>
        <v>0</v>
      </c>
      <c r="P10" s="73">
        <f t="shared" si="1"/>
        <v>1.053792488</v>
      </c>
      <c r="Q10" s="73">
        <f t="shared" si="1"/>
        <v>110.48108423999997</v>
      </c>
      <c r="R10" s="73">
        <f t="shared" si="1"/>
        <v>21.638508455999993</v>
      </c>
      <c r="S10" s="73">
        <f t="shared" si="1"/>
        <v>23.597843483199995</v>
      </c>
      <c r="T10" s="69">
        <f t="shared" si="1"/>
        <v>0</v>
      </c>
      <c r="U10" s="68">
        <f t="shared" si="1"/>
        <v>0</v>
      </c>
      <c r="V10" s="70">
        <f t="shared" si="1"/>
        <v>0</v>
      </c>
      <c r="W10" s="67">
        <f t="shared" si="1"/>
        <v>0.46886846896000001</v>
      </c>
    </row>
    <row r="11" spans="1:23" x14ac:dyDescent="0.35">
      <c r="D11" s="38"/>
    </row>
    <row r="12" spans="1:23" x14ac:dyDescent="0.35">
      <c r="C12" s="100">
        <f>SUM(C14:C34)</f>
        <v>1.00003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</row>
    <row r="13" spans="1:23" s="9" customFormat="1" ht="29" x14ac:dyDescent="0.35">
      <c r="B13" s="9" t="s">
        <v>0</v>
      </c>
      <c r="C13" s="9" t="s">
        <v>41</v>
      </c>
      <c r="D13" s="9" t="s">
        <v>42</v>
      </c>
      <c r="E13" s="9" t="s">
        <v>43</v>
      </c>
      <c r="F13" s="9" t="s">
        <v>5</v>
      </c>
      <c r="G13" s="71" t="s">
        <v>6</v>
      </c>
      <c r="H13" s="71" t="s">
        <v>7</v>
      </c>
      <c r="I13" s="71" t="s">
        <v>8</v>
      </c>
      <c r="J13" s="71" t="s">
        <v>9</v>
      </c>
      <c r="K13" s="71" t="s">
        <v>10</v>
      </c>
      <c r="L13" s="71" t="s">
        <v>11</v>
      </c>
      <c r="M13" s="71" t="s">
        <v>12</v>
      </c>
      <c r="N13" s="71" t="s">
        <v>13</v>
      </c>
      <c r="O13" s="71" t="s">
        <v>14</v>
      </c>
      <c r="P13" s="71" t="s">
        <v>15</v>
      </c>
      <c r="Q13" s="71" t="s">
        <v>16</v>
      </c>
      <c r="R13" s="71" t="s">
        <v>17</v>
      </c>
      <c r="S13" s="71" t="s">
        <v>18</v>
      </c>
      <c r="T13" s="71" t="s">
        <v>19</v>
      </c>
      <c r="U13" s="71" t="s">
        <v>20</v>
      </c>
      <c r="V13" s="71" t="s">
        <v>21</v>
      </c>
      <c r="W13" s="71" t="s">
        <v>22</v>
      </c>
    </row>
    <row r="14" spans="1:23" x14ac:dyDescent="0.35">
      <c r="A14">
        <v>1</v>
      </c>
      <c r="B14" s="14" t="s">
        <v>23</v>
      </c>
      <c r="C14" s="12">
        <v>0.56177999999999995</v>
      </c>
      <c r="D14" s="17">
        <f t="shared" ref="D14:D19" si="2">C14*$C$7</f>
        <v>6.5166479999999991</v>
      </c>
      <c r="E14" s="36">
        <f>VLOOKUP($B14,Ingredients!$A:$W,5,FALSE)*$D14/100</f>
        <v>23.512065983999996</v>
      </c>
      <c r="F14" s="36">
        <f>VLOOKUP($B14,Ingredients!$A:$W,6,FALSE)*$D14/100</f>
        <v>0.28164952655999997</v>
      </c>
      <c r="G14" s="67">
        <f>VLOOKUP($B14,Ingredients!$A:$W,7,FALSE)*$D14/100</f>
        <v>6.5818144799999992E-2</v>
      </c>
      <c r="H14" s="67">
        <f>VLOOKUP($B14,Ingredients!$A:$W,8,FALSE)*$D14/100</f>
        <v>1.081763568E-2</v>
      </c>
      <c r="I14" s="67">
        <f>VLOOKUP($B14,Ingredients!$A:$W,9,FALSE)*$D14/100</f>
        <v>0</v>
      </c>
      <c r="J14" s="68">
        <f>VLOOKUP($B14,Ingredients!$A:$W,10,FALSE)*$D14/100</f>
        <v>0</v>
      </c>
      <c r="K14" s="67">
        <f>VLOOKUP($B14,Ingredients!$A:$W,11,FALSE)*$D14/100</f>
        <v>5.6694837599999994</v>
      </c>
      <c r="L14" s="67">
        <f>VLOOKUP($B14,Ingredients!$A:$W,12,FALSE)*$D14/100</f>
        <v>5.460951023999999</v>
      </c>
      <c r="M14" s="67">
        <f>VLOOKUP($B14,Ingredients!$A:$W,13,FALSE)*$D14/100</f>
        <v>4.5942368399999989</v>
      </c>
      <c r="N14" s="67">
        <f>VLOOKUP($B14,Ingredients!$A:$W,14,FALSE)*$D14/100</f>
        <v>6.516647999999999E-3</v>
      </c>
      <c r="O14" s="67">
        <f>VLOOKUP($B14,Ingredients!$A:$W,15,FALSE)*$D14/100</f>
        <v>0</v>
      </c>
      <c r="P14" s="73">
        <f>VLOOKUP($B14,Ingredients!$A:$W,16,FALSE)*$D14/100</f>
        <v>0.50829854399999996</v>
      </c>
      <c r="Q14" s="73">
        <f>VLOOKUP($B14,Ingredients!$A:$W,17,FALSE)*$D14/100</f>
        <v>55.196008559999989</v>
      </c>
      <c r="R14" s="73">
        <f>VLOOKUP($B14,Ingredients!$A:$W,18,FALSE)*$D14/100</f>
        <v>4.5844618679999991</v>
      </c>
      <c r="S14" s="73">
        <f>VLOOKUP($B14,Ingredients!$A:$W,19,FALSE)*$D14/100</f>
        <v>11.415212301599997</v>
      </c>
      <c r="T14" s="69">
        <f>VLOOKUP($B14,Ingredients!$A:$W,20,FALSE)*$D14/100</f>
        <v>0</v>
      </c>
      <c r="U14" s="68">
        <f>VLOOKUP($B14,Ingredients!$A:$W,21,FALSE)*$D14/100</f>
        <v>0</v>
      </c>
      <c r="V14" s="70">
        <f>VLOOKUP($B14,Ingredients!$A:$W,22,FALSE)*$D14/100</f>
        <v>0</v>
      </c>
      <c r="W14" s="67">
        <f>VLOOKUP($B14,Ingredients!$A:$W,23,FALSE)*$D14/100</f>
        <v>0.13691477448</v>
      </c>
    </row>
    <row r="15" spans="1:23" x14ac:dyDescent="0.35">
      <c r="A15">
        <v>2</v>
      </c>
      <c r="B15" s="14" t="s">
        <v>24</v>
      </c>
      <c r="C15" s="12">
        <v>0.32064999999999999</v>
      </c>
      <c r="D15" s="17">
        <f t="shared" si="2"/>
        <v>3.7195399999999998</v>
      </c>
      <c r="E15" s="36">
        <f>VLOOKUP($B15,Ingredients!$A:$W,5,FALSE)*$D15/100</f>
        <v>14.0598612</v>
      </c>
      <c r="F15" s="36">
        <f>VLOOKUP($B15,Ingredients!$A:$W,6,FALSE)*$D15/100</f>
        <v>0</v>
      </c>
      <c r="G15" s="67">
        <f>VLOOKUP($B15,Ingredients!$A:$W,7,FALSE)*$D15/100</f>
        <v>0</v>
      </c>
      <c r="H15" s="67">
        <f>VLOOKUP($B15,Ingredients!$A:$W,8,FALSE)*$D15/100</f>
        <v>0</v>
      </c>
      <c r="I15" s="67">
        <f>VLOOKUP($B15,Ingredients!$A:$W,9,FALSE)*$D15/100</f>
        <v>0</v>
      </c>
      <c r="J15" s="68">
        <f>VLOOKUP($B15,Ingredients!$A:$W,10,FALSE)*$D15/100</f>
        <v>0</v>
      </c>
      <c r="K15" s="67">
        <f>VLOOKUP($B15,Ingredients!$A:$W,11,FALSE)*$D15/100</f>
        <v>3.5038066800000003</v>
      </c>
      <c r="L15" s="67">
        <f>VLOOKUP($B15,Ingredients!$A:$W,12,FALSE)*$D15/100</f>
        <v>0</v>
      </c>
      <c r="M15" s="67">
        <f>VLOOKUP($B15,Ingredients!$A:$W,13,FALSE)*$D15/100</f>
        <v>0</v>
      </c>
      <c r="N15" s="67">
        <f>VLOOKUP($B15,Ingredients!$A:$W,14,FALSE)*$D15/100</f>
        <v>0.13018389999999999</v>
      </c>
      <c r="O15" s="67">
        <f>VLOOKUP($B15,Ingredients!$A:$W,15,FALSE)*$D15/100</f>
        <v>0</v>
      </c>
      <c r="P15" s="73">
        <f>VLOOKUP($B15,Ingredients!$A:$W,16,FALSE)*$D15/100</f>
        <v>1.8597699999999998E-2</v>
      </c>
      <c r="Q15" s="73">
        <f>VLOOKUP($B15,Ingredients!$A:$W,17,FALSE)*$D15/100</f>
        <v>0</v>
      </c>
      <c r="R15" s="73">
        <f>VLOOKUP($B15,Ingredients!$A:$W,18,FALSE)*$D15/100</f>
        <v>5.5793099999999995</v>
      </c>
      <c r="S15" s="73">
        <f>VLOOKUP($B15,Ingredients!$A:$W,19,FALSE)*$D15/100</f>
        <v>0.37195400000000001</v>
      </c>
      <c r="T15" s="69">
        <f>VLOOKUP($B15,Ingredients!$A:$W,20,FALSE)*$D15/100</f>
        <v>0</v>
      </c>
      <c r="U15" s="68">
        <f>VLOOKUP($B15,Ingredients!$A:$W,21,FALSE)*$D15/100</f>
        <v>0</v>
      </c>
      <c r="V15" s="70">
        <f>VLOOKUP($B15,Ingredients!$A:$W,22,FALSE)*$D15/100</f>
        <v>0</v>
      </c>
      <c r="W15" s="67">
        <f>VLOOKUP($B15,Ingredients!$A:$W,23,FALSE)*$D15/100</f>
        <v>1.1158619999999999E-2</v>
      </c>
    </row>
    <row r="16" spans="1:23" x14ac:dyDescent="0.35">
      <c r="A16">
        <v>3</v>
      </c>
      <c r="B16" s="14" t="s">
        <v>26</v>
      </c>
      <c r="C16" s="12">
        <v>7.3700000000000002E-2</v>
      </c>
      <c r="D16" s="17">
        <f t="shared" si="2"/>
        <v>0.85492000000000001</v>
      </c>
      <c r="E16" s="36">
        <f>VLOOKUP($B16,Ingredients!$A:$W,5,FALSE)*$D16/100</f>
        <v>2.1116524000000001</v>
      </c>
      <c r="F16" s="36">
        <f>VLOOKUP($B16,Ingredients!$A:$W,6,FALSE)*$D16/100</f>
        <v>0</v>
      </c>
      <c r="G16" s="67">
        <f>VLOOKUP($B16,Ingredients!$A:$W,7,FALSE)*$D16/100</f>
        <v>0</v>
      </c>
      <c r="H16" s="67">
        <f>VLOOKUP($B16,Ingredients!$A:$W,8,FALSE)*$D16/100</f>
        <v>0</v>
      </c>
      <c r="I16" s="67">
        <f>VLOOKUP($B16,Ingredients!$A:$W,9,FALSE)*$D16/100</f>
        <v>0</v>
      </c>
      <c r="J16" s="68">
        <f>VLOOKUP($B16,Ingredients!$A:$W,10,FALSE)*$D16/100</f>
        <v>0</v>
      </c>
      <c r="K16" s="67">
        <f>VLOOKUP($B16,Ingredients!$A:$W,11,FALSE)*$D16/100</f>
        <v>0.85021793999999995</v>
      </c>
      <c r="L16" s="67">
        <f>VLOOKUP($B16,Ingredients!$A:$W,12,FALSE)*$D16/100</f>
        <v>0</v>
      </c>
      <c r="M16" s="67">
        <f>VLOOKUP($B16,Ingredients!$A:$W,13,FALSE)*$D16/100</f>
        <v>0</v>
      </c>
      <c r="N16" s="67">
        <f>VLOOKUP($B16,Ingredients!$A:$W,14,FALSE)*$D16/100</f>
        <v>0</v>
      </c>
      <c r="O16" s="67">
        <f>VLOOKUP($B16,Ingredients!$A:$W,15,FALSE)*$D16/100</f>
        <v>0</v>
      </c>
      <c r="P16" s="73">
        <f>VLOOKUP($B16,Ingredients!$A:$W,16,FALSE)*$D16/100</f>
        <v>0</v>
      </c>
      <c r="Q16" s="73">
        <f>VLOOKUP($B16,Ingredients!$A:$W,17,FALSE)*$D16/100</f>
        <v>2.5647599999999997E-3</v>
      </c>
      <c r="R16" s="73">
        <f>VLOOKUP($B16,Ingredients!$A:$W,18,FALSE)*$D16/100</f>
        <v>2.5647599999999997E-3</v>
      </c>
      <c r="S16" s="73">
        <f>VLOOKUP($B16,Ingredients!$A:$W,19,FALSE)*$D16/100</f>
        <v>1.7098400000000002E-3</v>
      </c>
      <c r="T16" s="69">
        <f>VLOOKUP($B16,Ingredients!$A:$W,20,FALSE)*$D16/100</f>
        <v>0</v>
      </c>
      <c r="U16" s="68">
        <f>VLOOKUP($B16,Ingredients!$A:$W,21,FALSE)*$D16/100</f>
        <v>0</v>
      </c>
      <c r="V16" s="70">
        <f>VLOOKUP($B16,Ingredients!$A:$W,22,FALSE)*$D16/100</f>
        <v>0</v>
      </c>
      <c r="W16" s="67">
        <f>VLOOKUP($B16,Ingredients!$A:$W,23,FALSE)*$D16/100</f>
        <v>0</v>
      </c>
    </row>
    <row r="17" spans="1:23" x14ac:dyDescent="0.35">
      <c r="A17">
        <v>4</v>
      </c>
      <c r="B17" s="14" t="s">
        <v>75</v>
      </c>
      <c r="C17" s="35">
        <v>7.7000000000000002E-3</v>
      </c>
      <c r="D17" s="17">
        <f t="shared" si="2"/>
        <v>8.9319999999999997E-2</v>
      </c>
      <c r="E17" s="36">
        <f>VLOOKUP($B17,Ingredients!$A:$W,5,FALSE)*$D17/100</f>
        <v>0.34030920000000003</v>
      </c>
      <c r="F17" s="36">
        <f>VLOOKUP($B17,Ingredients!$A:$W,6,FALSE)*$D17/100</f>
        <v>0</v>
      </c>
      <c r="G17" s="67">
        <f>VLOOKUP($B17,Ingredients!$A:$W,7,FALSE)*$D17/100</f>
        <v>0</v>
      </c>
      <c r="H17" s="67">
        <f>VLOOKUP($B17,Ingredients!$A:$W,8,FALSE)*$D17/100</f>
        <v>0</v>
      </c>
      <c r="I17" s="67">
        <f>VLOOKUP($B17,Ingredients!$A:$W,9,FALSE)*$D17/100</f>
        <v>0</v>
      </c>
      <c r="J17" s="68">
        <f>VLOOKUP($B17,Ingredients!$A:$W,10,FALSE)*$D17/100</f>
        <v>0</v>
      </c>
      <c r="K17" s="67">
        <f>VLOOKUP($B17,Ingredients!$A:$W,11,FALSE)*$D17/100</f>
        <v>0</v>
      </c>
      <c r="L17" s="67">
        <f>VLOOKUP($B17,Ingredients!$A:$W,12,FALSE)*$D17/100</f>
        <v>0</v>
      </c>
      <c r="M17" s="67">
        <f>VLOOKUP($B17,Ingredients!$A:$W,13,FALSE)*$D17/100</f>
        <v>0</v>
      </c>
      <c r="N17" s="67">
        <f>VLOOKUP($B17,Ingredients!$A:$W,14,FALSE)*$D17/100</f>
        <v>0</v>
      </c>
      <c r="O17" s="67">
        <f>VLOOKUP($B17,Ingredients!$A:$W,15,FALSE)*$D17/100</f>
        <v>0</v>
      </c>
      <c r="P17" s="73">
        <f>VLOOKUP($B17,Ingredients!$A:$W,16,FALSE)*$D17/100</f>
        <v>0</v>
      </c>
      <c r="Q17" s="73">
        <f>VLOOKUP($B17,Ingredients!$A:$W,17,FALSE)*$D17/100</f>
        <v>8.9320000000000007E-3</v>
      </c>
      <c r="R17" s="73">
        <f>VLOOKUP($B17,Ingredients!$A:$W,18,FALSE)*$D17/100</f>
        <v>2.6795999999999997E-2</v>
      </c>
      <c r="S17" s="73">
        <f>VLOOKUP($B17,Ingredients!$A:$W,19,FALSE)*$D17/100</f>
        <v>1.7863999999999998E-3</v>
      </c>
      <c r="T17" s="69">
        <f>VLOOKUP($B17,Ingredients!$A:$W,20,FALSE)*$D17/100</f>
        <v>0</v>
      </c>
      <c r="U17" s="68">
        <f>VLOOKUP($B17,Ingredients!$A:$W,21,FALSE)*$D17/100</f>
        <v>0</v>
      </c>
      <c r="V17" s="70">
        <f>VLOOKUP($B17,Ingredients!$A:$W,22,FALSE)*$D17/100</f>
        <v>0</v>
      </c>
      <c r="W17" s="67">
        <f>VLOOKUP($B17,Ingredients!$A:$W,23,FALSE)*$D17/100</f>
        <v>8.5121959999999997E-2</v>
      </c>
    </row>
    <row r="18" spans="1:23" ht="16.399999999999999" customHeight="1" x14ac:dyDescent="0.35">
      <c r="A18">
        <v>5</v>
      </c>
      <c r="B18" s="14" t="s">
        <v>80</v>
      </c>
      <c r="C18" s="35">
        <v>3.56E-2</v>
      </c>
      <c r="D18" s="17">
        <f t="shared" si="2"/>
        <v>0.41295999999999999</v>
      </c>
      <c r="E18" s="36">
        <f>VLOOKUP($B18,Ingredients!$A:$W,5,FALSE)*$D18/100</f>
        <v>1.3792864</v>
      </c>
      <c r="F18" s="36">
        <f>VLOOKUP($B18,Ingredients!$A:$W,6,FALSE)*$D18/100</f>
        <v>0</v>
      </c>
      <c r="G18" s="67">
        <f>VLOOKUP($B18,Ingredients!$A:$W,7,FALSE)*$D18/100</f>
        <v>0</v>
      </c>
      <c r="H18" s="67">
        <f>VLOOKUP($B18,Ingredients!$A:$W,8,FALSE)*$D18/100</f>
        <v>0</v>
      </c>
      <c r="I18" s="67">
        <f>VLOOKUP($B18,Ingredients!$A:$W,9,FALSE)*$D18/100</f>
        <v>0</v>
      </c>
      <c r="J18" s="68">
        <f>VLOOKUP($B18,Ingredients!$A:$W,10,FALSE)*$D18/100</f>
        <v>0</v>
      </c>
      <c r="K18" s="67">
        <f>VLOOKUP($B18,Ingredients!$A:$W,11,FALSE)*$D18/100</f>
        <v>0.34606048</v>
      </c>
      <c r="L18" s="67">
        <f>VLOOKUP($B18,Ingredients!$A:$W,12,FALSE)*$D18/100</f>
        <v>8.2591999999999995E-4</v>
      </c>
      <c r="M18" s="67">
        <f>VLOOKUP($B18,Ingredients!$A:$W,13,FALSE)*$D18/100</f>
        <v>0</v>
      </c>
      <c r="N18" s="67">
        <f>VLOOKUP($B18,Ingredients!$A:$W,14,FALSE)*$D18/100</f>
        <v>1.197584E-2</v>
      </c>
      <c r="O18" s="67">
        <f>VLOOKUP($B18,Ingredients!$A:$W,15,FALSE)*$D18/100</f>
        <v>0</v>
      </c>
      <c r="P18" s="73">
        <f>VLOOKUP($B18,Ingredients!$A:$W,16,FALSE)*$D18/100</f>
        <v>0</v>
      </c>
      <c r="Q18" s="73">
        <f>VLOOKUP($B18,Ingredients!$A:$W,17,FALSE)*$D18/100</f>
        <v>3.3036799999999998E-2</v>
      </c>
      <c r="R18" s="73">
        <f>VLOOKUP($B18,Ingredients!$A:$W,18,FALSE)*$D18/100</f>
        <v>0.39644160000000001</v>
      </c>
      <c r="S18" s="73">
        <f>VLOOKUP($B18,Ingredients!$A:$W,19,FALSE)*$D18/100</f>
        <v>8.2591999999999995E-3</v>
      </c>
      <c r="T18" s="69">
        <f>VLOOKUP($B18,Ingredients!$A:$W,20,FALSE)*$D18/100</f>
        <v>0</v>
      </c>
      <c r="U18" s="68">
        <f>VLOOKUP($B18,Ingredients!$A:$W,21,FALSE)*$D18/100</f>
        <v>0</v>
      </c>
      <c r="V18" s="70">
        <f>VLOOKUP($B18,Ingredients!$A:$W,22,FALSE)*$D18/100</f>
        <v>0</v>
      </c>
      <c r="W18" s="67">
        <f>VLOOKUP($B18,Ingredients!$A:$W,23,FALSE)*$D18/100</f>
        <v>1.2388799999999999E-3</v>
      </c>
    </row>
    <row r="19" spans="1:23" x14ac:dyDescent="0.35">
      <c r="A19">
        <v>6</v>
      </c>
      <c r="B19" s="14" t="s">
        <v>84</v>
      </c>
      <c r="C19" s="35">
        <v>5.9999999999999995E-4</v>
      </c>
      <c r="D19" s="17">
        <f t="shared" si="2"/>
        <v>6.9599999999999992E-3</v>
      </c>
      <c r="E19" s="36">
        <f>VLOOKUP($B19,Ingredients!$A:$W,5,FALSE)*$D19/100</f>
        <v>0</v>
      </c>
      <c r="F19" s="36">
        <f>VLOOKUP($B19,Ingredients!$A:$W,6,FALSE)*$D19/100</f>
        <v>0</v>
      </c>
      <c r="G19" s="67">
        <f>VLOOKUP($B19,Ingredients!$A:$W,7,FALSE)*$D19/100</f>
        <v>0</v>
      </c>
      <c r="H19" s="67">
        <f>VLOOKUP($B19,Ingredients!$A:$W,8,FALSE)*$D19/100</f>
        <v>0</v>
      </c>
      <c r="I19" s="67">
        <f>VLOOKUP($B19,Ingredients!$A:$W,9,FALSE)*$D19/100</f>
        <v>0</v>
      </c>
      <c r="J19" s="68">
        <f>VLOOKUP($B19,Ingredients!$A:$W,10,FALSE)*$D19/100</f>
        <v>0</v>
      </c>
      <c r="K19" s="67">
        <f>VLOOKUP($B19,Ingredients!$A:$W,11,FALSE)*$D19/100</f>
        <v>0</v>
      </c>
      <c r="L19" s="67">
        <f>VLOOKUP($B19,Ingredients!$A:$W,12,FALSE)*$D19/100</f>
        <v>0</v>
      </c>
      <c r="M19" s="67">
        <f>VLOOKUP($B19,Ingredients!$A:$W,13,FALSE)*$D19/100</f>
        <v>0</v>
      </c>
      <c r="N19" s="67">
        <f>VLOOKUP($B19,Ingredients!$A:$W,14,FALSE)*$D19/100</f>
        <v>0</v>
      </c>
      <c r="O19" s="67">
        <f>VLOOKUP($B19,Ingredients!$A:$W,15,FALSE)*$D19/100</f>
        <v>0</v>
      </c>
      <c r="P19" s="73">
        <f>VLOOKUP($B19,Ingredients!$A:$W,16,FALSE)*$D19/100</f>
        <v>0</v>
      </c>
      <c r="Q19" s="73">
        <f>VLOOKUP($B19,Ingredients!$A:$W,17,FALSE)*$D19/100</f>
        <v>0</v>
      </c>
      <c r="R19" s="73">
        <f>VLOOKUP($B19,Ingredients!$A:$W,18,FALSE)*$D19/100</f>
        <v>0.22967999999999997</v>
      </c>
      <c r="S19" s="73">
        <f>VLOOKUP($B19,Ingredients!$A:$W,19,FALSE)*$D19/100</f>
        <v>0</v>
      </c>
      <c r="T19" s="69">
        <f>VLOOKUP($B19,Ingredients!$A:$W,20,FALSE)*$D19/100</f>
        <v>0</v>
      </c>
      <c r="U19" s="68">
        <f>VLOOKUP($B19,Ingredients!$A:$W,21,FALSE)*$D19/100</f>
        <v>0</v>
      </c>
      <c r="V19" s="70">
        <f>VLOOKUP($B19,Ingredients!$A:$W,22,FALSE)*$D19/100</f>
        <v>0</v>
      </c>
      <c r="W19" s="67">
        <f>VLOOKUP($B19,Ingredients!$A:$W,23,FALSE)*$D19/100</f>
        <v>0</v>
      </c>
    </row>
    <row r="20" spans="1:23" x14ac:dyDescent="0.35">
      <c r="A20">
        <v>7</v>
      </c>
      <c r="B20" s="14"/>
      <c r="C20" s="35"/>
      <c r="D20" s="17"/>
      <c r="E20" s="36"/>
      <c r="F20" s="36"/>
      <c r="G20" s="67"/>
      <c r="H20" s="67"/>
      <c r="I20" s="67"/>
      <c r="J20" s="68"/>
      <c r="K20" s="67"/>
      <c r="L20" s="67"/>
      <c r="M20" s="67"/>
      <c r="N20" s="67"/>
      <c r="O20" s="67"/>
      <c r="P20" s="73"/>
      <c r="Q20" s="73"/>
      <c r="R20" s="73"/>
      <c r="S20" s="73"/>
      <c r="T20" s="69"/>
      <c r="U20" s="68"/>
      <c r="V20" s="70"/>
      <c r="W20" s="67"/>
    </row>
    <row r="21" spans="1:23" x14ac:dyDescent="0.35">
      <c r="A21">
        <v>8</v>
      </c>
      <c r="B21" s="14"/>
      <c r="C21" s="35"/>
      <c r="D21" s="17"/>
      <c r="E21" s="36"/>
      <c r="F21" s="36"/>
      <c r="G21" s="67"/>
      <c r="H21" s="67"/>
      <c r="I21" s="67"/>
      <c r="J21" s="68"/>
      <c r="K21" s="67"/>
      <c r="L21" s="67"/>
      <c r="M21" s="67"/>
      <c r="N21" s="67"/>
      <c r="O21" s="67"/>
      <c r="P21" s="73"/>
      <c r="Q21" s="73"/>
      <c r="R21" s="73"/>
      <c r="S21" s="73"/>
      <c r="T21" s="69"/>
      <c r="U21" s="68"/>
      <c r="V21" s="70"/>
      <c r="W21" s="67"/>
    </row>
    <row r="22" spans="1:23" x14ac:dyDescent="0.35">
      <c r="A22">
        <v>9</v>
      </c>
      <c r="B22" s="14"/>
      <c r="C22" s="35"/>
      <c r="D22" s="17"/>
      <c r="E22" s="36"/>
      <c r="F22" s="36"/>
      <c r="G22" s="67"/>
      <c r="H22" s="67"/>
      <c r="I22" s="67"/>
      <c r="J22" s="68"/>
      <c r="K22" s="67"/>
      <c r="L22" s="67"/>
      <c r="M22" s="67"/>
      <c r="N22" s="67"/>
      <c r="O22" s="67"/>
      <c r="P22" s="73"/>
      <c r="Q22" s="73"/>
      <c r="R22" s="73"/>
      <c r="S22" s="73"/>
      <c r="T22" s="69"/>
      <c r="U22" s="68"/>
      <c r="V22" s="70"/>
      <c r="W22" s="67"/>
    </row>
    <row r="23" spans="1:23" x14ac:dyDescent="0.35">
      <c r="A23">
        <v>10</v>
      </c>
      <c r="B23" s="14"/>
      <c r="C23" s="13"/>
      <c r="D23" s="17"/>
      <c r="E23" s="36"/>
      <c r="F23" s="36"/>
      <c r="G23" s="67"/>
      <c r="H23" s="67"/>
      <c r="I23" s="67"/>
      <c r="J23" s="68"/>
      <c r="K23" s="67"/>
      <c r="L23" s="67"/>
      <c r="M23" s="67"/>
      <c r="N23" s="67"/>
      <c r="O23" s="67"/>
      <c r="P23" s="73"/>
      <c r="Q23" s="73"/>
      <c r="R23" s="73"/>
      <c r="S23" s="73"/>
      <c r="T23" s="69"/>
      <c r="U23" s="68"/>
      <c r="V23" s="70"/>
      <c r="W23" s="67"/>
    </row>
    <row r="24" spans="1:23" x14ac:dyDescent="0.35">
      <c r="A24">
        <v>11</v>
      </c>
      <c r="B24" s="14"/>
      <c r="C24" s="13"/>
      <c r="D24" s="17"/>
      <c r="E24" s="36"/>
      <c r="F24" s="36"/>
      <c r="G24" s="67"/>
      <c r="H24" s="67"/>
      <c r="I24" s="67"/>
      <c r="J24" s="68"/>
      <c r="K24" s="67"/>
      <c r="L24" s="67"/>
      <c r="M24" s="67"/>
      <c r="N24" s="67"/>
      <c r="O24" s="67"/>
      <c r="P24" s="73"/>
      <c r="Q24" s="73"/>
      <c r="R24" s="73"/>
      <c r="S24" s="73"/>
      <c r="T24" s="69"/>
      <c r="U24" s="68"/>
      <c r="V24" s="70"/>
      <c r="W24" s="67"/>
    </row>
    <row r="25" spans="1:23" x14ac:dyDescent="0.35">
      <c r="A25">
        <v>12</v>
      </c>
      <c r="B25" s="14"/>
      <c r="C25" s="13"/>
      <c r="D25" s="17"/>
      <c r="E25" s="36"/>
      <c r="F25" s="36"/>
      <c r="G25" s="67"/>
      <c r="H25" s="67"/>
      <c r="I25" s="67"/>
      <c r="J25" s="68"/>
      <c r="K25" s="67"/>
      <c r="L25" s="67"/>
      <c r="M25" s="67"/>
      <c r="N25" s="67"/>
      <c r="O25" s="67"/>
      <c r="P25" s="73"/>
      <c r="Q25" s="73"/>
      <c r="R25" s="73"/>
      <c r="S25" s="73"/>
      <c r="T25" s="69"/>
      <c r="U25" s="68"/>
      <c r="V25" s="70"/>
      <c r="W25" s="67"/>
    </row>
    <row r="26" spans="1:23" x14ac:dyDescent="0.35">
      <c r="A26">
        <v>13</v>
      </c>
      <c r="B26" s="14"/>
      <c r="C26" s="13"/>
      <c r="D26" s="17"/>
      <c r="E26" s="36"/>
      <c r="F26" s="36"/>
      <c r="G26" s="67"/>
      <c r="H26" s="67"/>
      <c r="I26" s="67"/>
      <c r="J26" s="68"/>
      <c r="K26" s="67"/>
      <c r="L26" s="67"/>
      <c r="M26" s="67"/>
      <c r="N26" s="67"/>
      <c r="O26" s="67"/>
      <c r="P26" s="73"/>
      <c r="Q26" s="73"/>
      <c r="R26" s="73"/>
      <c r="S26" s="73"/>
      <c r="T26" s="69"/>
      <c r="U26" s="68"/>
      <c r="V26" s="70"/>
      <c r="W26" s="67"/>
    </row>
    <row r="27" spans="1:23" x14ac:dyDescent="0.35">
      <c r="A27">
        <v>14</v>
      </c>
      <c r="B27" s="14"/>
      <c r="C27" s="13"/>
      <c r="D27" s="17"/>
      <c r="E27" s="36"/>
      <c r="F27" s="36"/>
      <c r="G27" s="67"/>
      <c r="H27" s="67"/>
      <c r="I27" s="67"/>
      <c r="J27" s="68"/>
      <c r="K27" s="67"/>
      <c r="L27" s="67"/>
      <c r="M27" s="67"/>
      <c r="N27" s="67"/>
      <c r="O27" s="67"/>
      <c r="P27" s="73"/>
      <c r="Q27" s="73"/>
      <c r="R27" s="73"/>
      <c r="S27" s="73"/>
      <c r="T27" s="69"/>
      <c r="U27" s="68"/>
      <c r="V27" s="70"/>
      <c r="W27" s="67"/>
    </row>
    <row r="28" spans="1:23" x14ac:dyDescent="0.35">
      <c r="A28">
        <v>15</v>
      </c>
      <c r="B28" s="14"/>
      <c r="C28" s="13"/>
      <c r="D28" s="17"/>
      <c r="E28" s="36"/>
      <c r="F28" s="36"/>
      <c r="G28" s="67"/>
      <c r="H28" s="67"/>
      <c r="I28" s="67"/>
      <c r="J28" s="68"/>
      <c r="K28" s="67"/>
      <c r="L28" s="67"/>
      <c r="M28" s="67"/>
      <c r="N28" s="67"/>
      <c r="O28" s="67"/>
      <c r="P28" s="73"/>
      <c r="Q28" s="73"/>
      <c r="R28" s="73"/>
      <c r="S28" s="73"/>
      <c r="T28" s="69"/>
      <c r="U28" s="68"/>
      <c r="V28" s="70"/>
      <c r="W28" s="67"/>
    </row>
    <row r="29" spans="1:23" x14ac:dyDescent="0.35">
      <c r="A29">
        <v>16</v>
      </c>
      <c r="B29" s="14"/>
      <c r="C29" s="13"/>
      <c r="D29" s="17"/>
      <c r="E29" s="15"/>
      <c r="F29" s="15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</row>
    <row r="30" spans="1:23" x14ac:dyDescent="0.35">
      <c r="A30">
        <v>17</v>
      </c>
      <c r="B30" s="14"/>
      <c r="C30" s="13"/>
      <c r="D30" s="17"/>
      <c r="E30" s="15"/>
      <c r="F30" s="15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</row>
    <row r="31" spans="1:23" x14ac:dyDescent="0.35">
      <c r="A31">
        <v>18</v>
      </c>
      <c r="B31" s="14"/>
      <c r="C31" s="13"/>
      <c r="D31" s="17"/>
      <c r="E31" s="15"/>
      <c r="F31" s="15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</row>
    <row r="32" spans="1:23" x14ac:dyDescent="0.35">
      <c r="A32">
        <v>19</v>
      </c>
      <c r="B32" s="14"/>
      <c r="C32" s="13"/>
      <c r="D32" s="17"/>
      <c r="E32" s="15"/>
      <c r="F32" s="15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</row>
    <row r="33" spans="1:23" x14ac:dyDescent="0.35">
      <c r="A33">
        <v>20</v>
      </c>
      <c r="B33" s="14"/>
      <c r="C33" s="13"/>
      <c r="D33" s="17"/>
      <c r="E33" s="15"/>
      <c r="F33" s="15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</row>
    <row r="34" spans="1:23" x14ac:dyDescent="0.35">
      <c r="A34">
        <v>21</v>
      </c>
      <c r="B34" s="14"/>
      <c r="C34" s="13"/>
      <c r="D34" s="17"/>
      <c r="E34" s="15"/>
      <c r="F34" s="15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</row>
  </sheetData>
  <mergeCells count="1">
    <mergeCell ref="E9:W9"/>
  </mergeCells>
  <pageMargins left="0.7" right="0.7" top="0.75" bottom="0.75" header="0.3" footer="0.3"/>
  <pageSetup orientation="portrait" r:id="rId1"/>
  <headerFooter>
    <oddHeader>&amp;R&amp;"Calibri"&amp;10&amp;K000000Highly Restricted&amp;1#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1CAEC81-75A4-4182-AADC-3A4814890C8B}">
          <x14:formula1>
            <xm:f>Ingredients!$A$3:$A$1048576</xm:f>
          </x14:formula1>
          <xm:sqref>B14:B34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DC924-3707-4771-A3ED-F598209935D0}">
  <dimension ref="A1:K72"/>
  <sheetViews>
    <sheetView topLeftCell="A6" zoomScale="80" zoomScaleNormal="80" workbookViewId="0">
      <selection activeCell="F17" sqref="F17"/>
    </sheetView>
  </sheetViews>
  <sheetFormatPr defaultColWidth="9.1796875" defaultRowHeight="14.5" x14ac:dyDescent="0.35"/>
  <cols>
    <col min="1" max="1" width="17.453125" bestFit="1" customWidth="1"/>
    <col min="2" max="2" width="9.7265625" customWidth="1"/>
    <col min="3" max="3" width="30.54296875" bestFit="1" customWidth="1"/>
    <col min="4" max="4" width="33" customWidth="1"/>
    <col min="5" max="5" width="31.54296875" bestFit="1" customWidth="1"/>
    <col min="6" max="6" width="26.453125" customWidth="1"/>
    <col min="7" max="7" width="27.1796875" customWidth="1"/>
    <col min="8" max="8" width="23.54296875" customWidth="1"/>
    <col min="9" max="9" width="6.81640625" bestFit="1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.81640625" bestFit="1" customWidth="1"/>
    <col min="14" max="14" width="8.1796875" bestFit="1" customWidth="1"/>
    <col min="15" max="15" width="9.453125" bestFit="1" customWidth="1"/>
    <col min="16" max="16" width="8.1796875" bestFit="1" customWidth="1"/>
    <col min="17" max="17" width="7.54296875" bestFit="1" customWidth="1"/>
  </cols>
  <sheetData>
    <row r="1" spans="1:9" x14ac:dyDescent="0.35">
      <c r="A1" s="13" t="s">
        <v>36</v>
      </c>
    </row>
    <row r="2" spans="1:9" x14ac:dyDescent="0.35">
      <c r="A2" t="s">
        <v>94</v>
      </c>
      <c r="B2" s="13" t="s">
        <v>117</v>
      </c>
      <c r="D2" t="str">
        <f>A2&amp;" "&amp; B2</f>
        <v>Formulation STOF</v>
      </c>
      <c r="G2" cm="1">
        <f t="array" aca="1" ref="G2" ca="1">INDIRECT("'"&amp;D2&amp;"'!C7")</f>
        <v>11.6</v>
      </c>
      <c r="H2" t="s">
        <v>46</v>
      </c>
      <c r="I2" t="s">
        <v>99</v>
      </c>
    </row>
    <row r="3" spans="1:9" x14ac:dyDescent="0.35">
      <c r="A3" t="str">
        <f>'Formulation STOF2'!B6</f>
        <v>Smooth Texture Sugar Free Orange Natural Dyes</v>
      </c>
      <c r="D3" t="s">
        <v>44</v>
      </c>
      <c r="E3" t="s">
        <v>45</v>
      </c>
      <c r="G3" s="27" cm="1">
        <f t="array" aca="1" ref="G3" ca="1">INDIRECT("'"&amp;D2&amp;"'!D6")</f>
        <v>11.6</v>
      </c>
      <c r="H3" t="s">
        <v>46</v>
      </c>
      <c r="I3" t="s">
        <v>100</v>
      </c>
    </row>
    <row r="5" spans="1:9" ht="15.5" x14ac:dyDescent="0.35">
      <c r="A5" s="146" t="s">
        <v>104</v>
      </c>
      <c r="B5" t="s">
        <v>101</v>
      </c>
      <c r="C5" s="18">
        <f ca="1">(4*F24)+(4*C10)+(9*C31)</f>
        <v>43.00837568112</v>
      </c>
      <c r="D5" s="50" t="s">
        <v>95</v>
      </c>
      <c r="E5" s="74" t="s">
        <v>96</v>
      </c>
      <c r="F5" s="74" t="s">
        <v>98</v>
      </c>
    </row>
    <row r="6" spans="1:9" ht="15.5" x14ac:dyDescent="0.35">
      <c r="A6" s="146"/>
      <c r="B6" t="s">
        <v>102</v>
      </c>
      <c r="C6" s="18">
        <f ca="1">(4*F24)+(9*C31)+(4*(C10-D10))+(2*D10)</f>
        <v>32.08482179312</v>
      </c>
      <c r="D6" s="50" t="s">
        <v>95</v>
      </c>
      <c r="E6" s="74" t="s">
        <v>97</v>
      </c>
      <c r="F6" s="74" t="s">
        <v>115</v>
      </c>
    </row>
    <row r="7" spans="1:9" ht="15.5" x14ac:dyDescent="0.35">
      <c r="A7" s="146"/>
      <c r="B7" t="s">
        <v>103</v>
      </c>
      <c r="C7" s="18">
        <f ca="1">(4*F24)+(9*C31)+(4*(C10-D10))+(2*E10)</f>
        <v>30.34974158512</v>
      </c>
      <c r="D7" s="50" t="s">
        <v>95</v>
      </c>
      <c r="E7" s="74" t="s">
        <v>97</v>
      </c>
      <c r="F7" s="74" t="s">
        <v>116</v>
      </c>
    </row>
    <row r="8" spans="1:9" s="51" customFormat="1" ht="7" customHeight="1" x14ac:dyDescent="0.35">
      <c r="C8" s="52"/>
      <c r="D8" s="53"/>
      <c r="E8" s="53"/>
    </row>
    <row r="9" spans="1:9" x14ac:dyDescent="0.35">
      <c r="A9" s="150" t="s">
        <v>49</v>
      </c>
      <c r="B9" s="18"/>
      <c r="C9" s="1" t="str">
        <f ca="1">'Nutrition STONF'!C9</f>
        <v>Total carbohydrate</v>
      </c>
      <c r="D9" s="1" t="str">
        <f ca="1">'Nutrition STONF'!D9</f>
        <v>Total dietary fiber</v>
      </c>
      <c r="E9" s="1" t="str">
        <f ca="1">'Nutrition STONF'!E9</f>
        <v>Soluble fiber</v>
      </c>
    </row>
    <row r="10" spans="1:9" x14ac:dyDescent="0.35">
      <c r="A10" s="150"/>
      <c r="B10" s="18" t="s">
        <v>50</v>
      </c>
      <c r="C10" s="21" cm="1">
        <f t="array" aca="1" ref="C10" ca="1">INDIRECT("'"&amp;D2&amp;"'!K8")</f>
        <v>10.369568859999999</v>
      </c>
      <c r="D10" s="21" cm="1">
        <f t="array" aca="1" ref="D10" ca="1">INDIRECT("'"&amp;D2&amp;"'!L8")</f>
        <v>5.4617769439999986</v>
      </c>
      <c r="E10" s="21" cm="1">
        <f t="array" aca="1" ref="E10" ca="1">INDIRECT("'"&amp;D2&amp;"'!M8")</f>
        <v>4.5942368399999989</v>
      </c>
    </row>
    <row r="11" spans="1:9" x14ac:dyDescent="0.35">
      <c r="A11" s="150"/>
      <c r="B11" s="18" t="s">
        <v>51</v>
      </c>
      <c r="C11" s="1">
        <f>'Nutrition STONF'!C11</f>
        <v>275</v>
      </c>
      <c r="D11" s="1">
        <f>'Nutrition STONF'!D11</f>
        <v>28</v>
      </c>
      <c r="E11" s="1" t="str">
        <f>'Nutrition STONF'!E11</f>
        <v>NA</v>
      </c>
    </row>
    <row r="12" spans="1:9" x14ac:dyDescent="0.35">
      <c r="A12" s="150"/>
      <c r="B12" s="18" t="s">
        <v>53</v>
      </c>
      <c r="C12" s="26">
        <f ca="1">C10/C11</f>
        <v>3.7707523127272727E-2</v>
      </c>
      <c r="D12" s="26">
        <f ca="1">D10/D11</f>
        <v>0.19506346228571422</v>
      </c>
      <c r="E12" s="26" t="s">
        <v>52</v>
      </c>
    </row>
    <row r="13" spans="1:9" ht="127" customHeight="1" x14ac:dyDescent="0.35">
      <c r="A13" s="150"/>
      <c r="B13" s="18"/>
      <c r="C13" s="1" t="str">
        <f>'Nutrition STONF'!C13</f>
        <v>&lt; 0.5g - express as 0
&lt; 1g - express as "contains less than 1g" or "less than 1g"
≥1g - express to nearest 1g increment
Insignificant amount is &lt; 1g</v>
      </c>
      <c r="D13" s="1" t="str">
        <f>'Nutrition STONF'!D13</f>
        <v>&lt; 0.5g - express as 0
&lt; 1g - express as "contains less than 1g" or "less than 1g"
≥1g - express to nearest 1g increment
Insignificant amount is &lt; 1g</v>
      </c>
      <c r="E13" s="1" t="str">
        <f>'Nutrition STONF'!E13</f>
        <v>- Label value  based on calculation of psyllium being 70% soluble fiber (3.4g psyllium * 0.70 = 2.4g)
&lt; 0.5g - express as 0
&lt; 1g - express as "contains less than 1g" or "less than 1g"
≥1g - express to nearest 1g increment
Insignificant amount is &lt; 0.5g</v>
      </c>
    </row>
    <row r="14" spans="1:9" x14ac:dyDescent="0.35">
      <c r="A14" s="150"/>
      <c r="B14" s="18" t="s">
        <v>56</v>
      </c>
      <c r="C14" s="31" t="s">
        <v>57</v>
      </c>
      <c r="D14" s="31" t="s">
        <v>58</v>
      </c>
      <c r="E14" s="31" t="s">
        <v>59</v>
      </c>
    </row>
    <row r="16" spans="1:9" x14ac:dyDescent="0.35">
      <c r="A16" s="150" t="s">
        <v>49</v>
      </c>
      <c r="B16" s="18"/>
      <c r="C16" s="1" t="str">
        <f>'Nutrition STONF'!C16</f>
        <v>Iron [Mandatory]</v>
      </c>
      <c r="D16" s="1" t="str">
        <f>'Nutrition STONF'!D16</f>
        <v>Potassium [Mandatory]</v>
      </c>
      <c r="E16" s="1" t="str">
        <f>'Nutrition STONF'!E16</f>
        <v>Calcium [Mandatory]</v>
      </c>
    </row>
    <row r="17" spans="1:6" x14ac:dyDescent="0.35">
      <c r="A17" s="150"/>
      <c r="B17" s="18" t="s">
        <v>50</v>
      </c>
      <c r="C17" s="22" cm="1">
        <f t="array" aca="1" ref="C17" ca="1">INDIRECT("'"&amp;D2&amp;"'!P8")</f>
        <v>0.52689624400000001</v>
      </c>
      <c r="D17" s="22" cm="1">
        <f t="array" aca="1" ref="D17" ca="1">INDIRECT("'"&amp;D2&amp;"'!Q8")</f>
        <v>55.240542119999986</v>
      </c>
      <c r="E17" s="22" cm="1">
        <f t="array" aca="1" ref="E17" ca="1">INDIRECT("'"&amp;D2&amp;"'!S8")</f>
        <v>11.798921741599997</v>
      </c>
    </row>
    <row r="18" spans="1:6" x14ac:dyDescent="0.35">
      <c r="A18" s="150"/>
      <c r="B18" s="18" t="s">
        <v>51</v>
      </c>
      <c r="C18" s="1">
        <f>'Nutrition STONF'!C18</f>
        <v>18</v>
      </c>
      <c r="D18" s="1">
        <f>'Nutrition STONF'!D18</f>
        <v>4700</v>
      </c>
      <c r="E18" s="1">
        <f>'Nutrition STONF'!E18</f>
        <v>1300</v>
      </c>
    </row>
    <row r="19" spans="1:6" x14ac:dyDescent="0.35">
      <c r="A19" s="150"/>
      <c r="B19" s="18" t="s">
        <v>53</v>
      </c>
      <c r="C19" s="26">
        <f ca="1">C17/C18</f>
        <v>2.9272013555555556E-2</v>
      </c>
      <c r="D19" s="26">
        <f t="shared" ref="D19:E19" ca="1" si="0">D17/D18</f>
        <v>1.175330683404255E-2</v>
      </c>
      <c r="E19" s="26">
        <f t="shared" ca="1" si="0"/>
        <v>9.0760936473846133E-3</v>
      </c>
    </row>
    <row r="20" spans="1:6" ht="39" x14ac:dyDescent="0.35">
      <c r="A20" s="150"/>
      <c r="B20" s="18"/>
      <c r="C20" s="1" t="str">
        <f>'Nutrition STONF'!C20</f>
        <v>&lt;2% DV: shall not be declared 
&gt; 2% DV: round to nearest 0.1 mg and round to nearest % DV</v>
      </c>
      <c r="D20" s="1" t="str">
        <f>'Nutrition STONF'!D20</f>
        <v>&lt;2% DV: shall not be declared 
&gt; 2% DV: round to nearest 10 mg and round to nearest % DV</v>
      </c>
      <c r="E20" s="1" t="str">
        <f>'Nutrition STONF'!E20</f>
        <v>&lt;2% DV: shall not be declared 
&gt; 2% DV: round to nearest 10 mg and round to nearest % DV</v>
      </c>
    </row>
    <row r="21" spans="1:6" x14ac:dyDescent="0.35">
      <c r="A21" s="150"/>
      <c r="B21" s="18" t="s">
        <v>56</v>
      </c>
      <c r="C21" s="31" t="s">
        <v>140</v>
      </c>
      <c r="D21" s="31" t="s">
        <v>60</v>
      </c>
      <c r="E21" s="31" t="s">
        <v>131</v>
      </c>
    </row>
    <row r="23" spans="1:6" x14ac:dyDescent="0.35">
      <c r="A23" s="150" t="s">
        <v>49</v>
      </c>
      <c r="B23" s="18"/>
      <c r="C23" s="1" t="str">
        <f>'Nutrition STONF'!C23</f>
        <v>Vitamin A [Voluntary]</v>
      </c>
      <c r="D23" s="1" t="str">
        <f>'Nutrition STONF'!D23</f>
        <v>Vitamin C [Voluntary]</v>
      </c>
      <c r="E23" s="1" t="str">
        <f>'Nutrition STONF'!E23</f>
        <v>Vitamin D [Mandatory]</v>
      </c>
      <c r="F23" s="1" t="str">
        <f>'Nutrition STONF'!F23</f>
        <v>Protein</v>
      </c>
    </row>
    <row r="24" spans="1:6" x14ac:dyDescent="0.35">
      <c r="A24" s="150"/>
      <c r="B24" s="18" t="s">
        <v>50</v>
      </c>
      <c r="C24" s="23" cm="1">
        <f t="array" aca="1" ref="C24" ca="1">INDIRECT("'"&amp;D2&amp;"'!T8")</f>
        <v>0</v>
      </c>
      <c r="D24" s="24" cm="1">
        <f t="array" aca="1" ref="D24" ca="1">INDIRECT("'"&amp;D2&amp;"'!U8")</f>
        <v>0</v>
      </c>
      <c r="E24" s="24" cm="1">
        <f t="array" aca="1" ref="E24" ca="1">INDIRECT("'"&amp;D2&amp;"'!V8")</f>
        <v>0</v>
      </c>
      <c r="F24" s="21" cm="1">
        <f t="array" aca="1" ref="F24" ca="1">INDIRECT("'"&amp;D2&amp;"'!W8")</f>
        <v>0.23443423448</v>
      </c>
    </row>
    <row r="25" spans="1:6" x14ac:dyDescent="0.35">
      <c r="A25" s="150"/>
      <c r="B25" s="18" t="s">
        <v>51</v>
      </c>
      <c r="C25" s="1" t="str">
        <f>'Nutrition STONF'!C25</f>
        <v>900 mcg RAE</v>
      </c>
      <c r="D25" s="1">
        <f>'Nutrition STONF'!D25</f>
        <v>90</v>
      </c>
      <c r="E25" s="1" t="str">
        <f>'Nutrition STONF'!E25</f>
        <v>20 microgram</v>
      </c>
      <c r="F25" s="1" t="str">
        <f>'Nutrition STONF'!F25</f>
        <v>NA</v>
      </c>
    </row>
    <row r="26" spans="1:6" x14ac:dyDescent="0.35">
      <c r="A26" s="150"/>
      <c r="B26" s="18" t="s">
        <v>53</v>
      </c>
      <c r="C26" s="26" t="s">
        <v>52</v>
      </c>
      <c r="D26" s="26" t="s">
        <v>52</v>
      </c>
      <c r="E26" s="26">
        <f ca="1">E24/20</f>
        <v>0</v>
      </c>
      <c r="F26" s="26" t="s">
        <v>52</v>
      </c>
    </row>
    <row r="27" spans="1:6" ht="78" x14ac:dyDescent="0.35">
      <c r="A27" s="150"/>
      <c r="B27" s="18"/>
      <c r="C27" s="1" t="str">
        <f>'Nutrition STONF'!C27</f>
        <v>&lt;2% DV: shall not be declared 
&gt; 2% DV: round to nearest 10 mcg RAE and round to nearest % DV</v>
      </c>
      <c r="D27" s="1" t="str">
        <f>'Nutrition STONF'!D27</f>
        <v>&lt;2% DV: shall not be declared 
&gt; 2% DV: round to nearest 1 mg and round to nearest % DV</v>
      </c>
      <c r="E27" s="1" t="str">
        <f>'Nutrition STONF'!E27</f>
        <v>&lt;2% DV: shall not be declared 
&gt; 2% DV: round to nearest 0.1 mcg and round to nearest % DV</v>
      </c>
      <c r="F27" s="1" t="str">
        <f>'Nutrition STONF'!F27</f>
        <v>&lt; 0.5g - express as 0
&lt; 1g - express as "contains less than 1g" or "less than 1g"
≥1g - express to nearest 1g increment
Insignificant amount is &lt; 0.5g</v>
      </c>
    </row>
    <row r="28" spans="1:6" x14ac:dyDescent="0.35">
      <c r="A28" s="150"/>
      <c r="B28" s="18" t="s">
        <v>56</v>
      </c>
      <c r="C28" s="31" t="s">
        <v>62</v>
      </c>
      <c r="D28" s="31" t="s">
        <v>62</v>
      </c>
      <c r="E28" s="31">
        <v>0</v>
      </c>
      <c r="F28" s="31" t="s">
        <v>63</v>
      </c>
    </row>
    <row r="30" spans="1:6" x14ac:dyDescent="0.35">
      <c r="A30" s="149" t="s">
        <v>64</v>
      </c>
      <c r="B30" s="18"/>
      <c r="C30" s="1" t="str">
        <f>'Nutrition STONF'!C30</f>
        <v>Total Fat</v>
      </c>
      <c r="D30" s="1" t="str">
        <f>'Nutrition STONF'!D30</f>
        <v>Saturated Fat</v>
      </c>
      <c r="E30" s="1" t="str">
        <f>'Nutrition STONF'!E30</f>
        <v>Trans Fat</v>
      </c>
      <c r="F30" s="1" t="str">
        <f>'Nutrition STONF'!F30</f>
        <v>Cholesterol</v>
      </c>
    </row>
    <row r="31" spans="1:6" x14ac:dyDescent="0.35">
      <c r="A31" s="149"/>
      <c r="B31" s="18" t="s">
        <v>50</v>
      </c>
      <c r="C31" s="21" cm="1">
        <f t="array" aca="1" ref="C31" ca="1">INDIRECT("'"&amp;D2&amp;"'!G8")</f>
        <v>6.5818144799999992E-2</v>
      </c>
      <c r="D31" s="21" cm="1">
        <f t="array" aca="1" ref="D31" ca="1">INDIRECT("'"&amp;D2&amp;"'!H8")</f>
        <v>1.081763568E-2</v>
      </c>
      <c r="E31" s="21" cm="1">
        <f t="array" aca="1" ref="E31" ca="1">INDIRECT("'"&amp;D2&amp;"'!I8")</f>
        <v>0</v>
      </c>
      <c r="F31" s="21" cm="1">
        <f t="array" aca="1" ref="F31" ca="1">INDIRECT("'"&amp;D2&amp;"'!J8")</f>
        <v>0</v>
      </c>
    </row>
    <row r="32" spans="1:6" x14ac:dyDescent="0.35">
      <c r="A32" s="149"/>
      <c r="B32" s="18" t="s">
        <v>51</v>
      </c>
      <c r="C32" s="1">
        <f>'Nutrition STONF'!C32</f>
        <v>78</v>
      </c>
      <c r="D32" s="1">
        <f>'Nutrition STONF'!D32</f>
        <v>20</v>
      </c>
      <c r="E32" s="1" t="str">
        <f>'Nutrition STONF'!E32</f>
        <v>NA</v>
      </c>
      <c r="F32" s="1" t="str">
        <f>'Nutrition STONF'!F32</f>
        <v>300 mg</v>
      </c>
    </row>
    <row r="33" spans="1:11" x14ac:dyDescent="0.35">
      <c r="A33" s="149"/>
      <c r="B33" s="18" t="s">
        <v>53</v>
      </c>
      <c r="C33" s="26" t="s">
        <v>52</v>
      </c>
      <c r="D33" s="26" t="s">
        <v>52</v>
      </c>
      <c r="E33" s="26" t="s">
        <v>52</v>
      </c>
      <c r="F33" s="26" t="s">
        <v>52</v>
      </c>
    </row>
    <row r="34" spans="1:11" ht="73.400000000000006" customHeight="1" x14ac:dyDescent="0.35">
      <c r="A34" s="149"/>
      <c r="B34" s="18"/>
      <c r="C34" s="1" t="str">
        <f>'Nutrition STONF'!C34</f>
        <v xml:space="preserve">&lt; 0.5g - express as 0
&lt; 5 g - nearest 0.5 g increment
&gt; 5 g: nearest 1 g increment
</v>
      </c>
      <c r="D34" s="1" t="str">
        <f>'Nutrition STONF'!D34</f>
        <v xml:space="preserve">&lt; 0.5g - express as 0
&lt; 5 g - nearest 0.5 g increment
&gt; 5 g: nearest 1 g increment
</v>
      </c>
      <c r="E34" s="1" t="str">
        <f>'Nutrition STONF'!E34</f>
        <v xml:space="preserve">&lt; 0.5g - express as 0
&lt; 5 g - nearest 0.5 g increment
&gt; 5 g: nearest 1 g increment
</v>
      </c>
      <c r="F34" s="1" t="str">
        <f>'Nutrition STONF'!F34</f>
        <v>&lt; 2mg: express as 0
2-5 mg: "less than 5 mg"
&gt; 5 mg: 5 mg increment</v>
      </c>
    </row>
    <row r="35" spans="1:11" x14ac:dyDescent="0.35">
      <c r="A35" s="149"/>
      <c r="B35" s="18" t="s">
        <v>56</v>
      </c>
      <c r="C35" s="31" t="s">
        <v>62</v>
      </c>
      <c r="D35" s="31" t="s">
        <v>62</v>
      </c>
      <c r="E35" s="31" t="s">
        <v>62</v>
      </c>
      <c r="F35" s="31" t="s">
        <v>62</v>
      </c>
    </row>
    <row r="37" spans="1:11" ht="30" customHeight="1" x14ac:dyDescent="0.35">
      <c r="A37" s="149" t="s">
        <v>64</v>
      </c>
      <c r="B37" s="18"/>
      <c r="C37" s="1" t="str">
        <f ca="1">'Nutrition STONF'!C37</f>
        <v>Calories (US Rules)</v>
      </c>
      <c r="D37" s="1" t="str">
        <f>'Nutrition STONF'!D37</f>
        <v>Calories from Fat</v>
      </c>
      <c r="E37" s="1" t="str">
        <f ca="1">'Nutrition STONF'!E37</f>
        <v xml:space="preserve">Sugar </v>
      </c>
      <c r="F37" s="1" t="str">
        <f ca="1">'Nutrition STONF'!F37</f>
        <v>Added Sugars</v>
      </c>
      <c r="G37" s="1" t="str">
        <f ca="1">'Nutrition STONF'!G37</f>
        <v>Sodium</v>
      </c>
    </row>
    <row r="38" spans="1:11" x14ac:dyDescent="0.35">
      <c r="A38" s="149"/>
      <c r="B38" s="18" t="s">
        <v>50</v>
      </c>
      <c r="C38" s="20" cm="1">
        <f t="array" aca="1" ref="C38" ca="1">INDIRECT("'"&amp;D2&amp;"'!E8")</f>
        <v>30.34974158512</v>
      </c>
      <c r="D38" s="20" cm="1">
        <f t="array" aca="1" ref="D38" ca="1">INDIRECT("'"&amp;D2&amp;"'!F8")</f>
        <v>0.28164952655999997</v>
      </c>
      <c r="E38" s="21" cm="1">
        <f t="array" aca="1" ref="E38" ca="1">INDIRECT("'"&amp;D2&amp;"'!N8")</f>
        <v>0.14867638799999996</v>
      </c>
      <c r="F38" s="21" cm="1">
        <f t="array" aca="1" ref="F38" ca="1">INDIRECT("'"&amp;D2&amp;"'!O8")</f>
        <v>0</v>
      </c>
      <c r="G38" s="22" cm="1">
        <f t="array" aca="1" ref="G38" ca="1">INDIRECT("'"&amp;D2&amp;"'!R8")</f>
        <v>10.819254227999997</v>
      </c>
    </row>
    <row r="39" spans="1:11" x14ac:dyDescent="0.35">
      <c r="A39" s="149"/>
      <c r="B39" s="18" t="s">
        <v>51</v>
      </c>
      <c r="C39" s="1" t="str">
        <f>'Nutrition STONF'!C39</f>
        <v>NA</v>
      </c>
      <c r="D39" s="1" t="str">
        <f>'Nutrition STONF'!D39</f>
        <v>NA</v>
      </c>
      <c r="E39" s="1" t="str">
        <f>'Nutrition STONF'!E39</f>
        <v>NA</v>
      </c>
      <c r="F39" s="1">
        <f>'Nutrition STONF'!F39</f>
        <v>50</v>
      </c>
      <c r="G39" s="1">
        <f>'Nutrition STONF'!G39</f>
        <v>2300</v>
      </c>
    </row>
    <row r="40" spans="1:11" x14ac:dyDescent="0.35">
      <c r="A40" s="149"/>
      <c r="B40" s="18" t="s">
        <v>53</v>
      </c>
      <c r="C40" s="25" t="s">
        <v>52</v>
      </c>
      <c r="D40" s="25" t="s">
        <v>52</v>
      </c>
      <c r="E40" s="26" t="s">
        <v>52</v>
      </c>
      <c r="F40" s="26">
        <f t="shared" ref="F40:G40" ca="1" si="1">F38/F39</f>
        <v>0</v>
      </c>
      <c r="G40" s="26">
        <f t="shared" ca="1" si="1"/>
        <v>4.7040235773913031E-3</v>
      </c>
    </row>
    <row r="41" spans="1:11" ht="193.4" customHeight="1" x14ac:dyDescent="0.35">
      <c r="A41" s="149"/>
      <c r="B41" s="18"/>
      <c r="C41" s="1" t="str">
        <f>'Nutrition STONF'!C41</f>
        <v>&lt; 5 cal - express as 0
≤ 50 cal - express to nearest 5 cal increment
&gt; 50 cal - express to nearest 10 cal increment
Insignificant amount is &lt; 5 cal</v>
      </c>
      <c r="D41" s="1" t="str">
        <f>'Nutrition STONF'!D41</f>
        <v>Not required to be declared</v>
      </c>
      <c r="E41" s="1" t="str">
        <f>'Nutrition STONF'!E41</f>
        <v>&lt; 0.5g - express as 0
&lt; 1g - express as "contains less than 1g" or "less than 1g"
≥1g - express to nearest 1g increment
Insignificant amount is &lt; 0.5g</v>
      </c>
      <c r="F41" s="1" t="str">
        <f>'Nutrition STONF'!F41</f>
        <v>&lt; 0.5g - express as 0
&lt; 1g - express as "contains less than 1g" or "less than 1g"
≥1g - express to nearest 1g increment
Insignificant amount is &lt; 0.5g</v>
      </c>
      <c r="G41" s="1" t="str">
        <f>'Nutrition STONF'!G41</f>
        <v>&lt; 5mg - express as 0
5-140mg - express to nearest 5mg increment
&gt; 140mg - express to nearest 10mg increment
Insignificant amount is &lt; 5mg</v>
      </c>
      <c r="K41" s="32"/>
    </row>
    <row r="42" spans="1:11" x14ac:dyDescent="0.35">
      <c r="A42" s="149"/>
      <c r="B42" s="18" t="s">
        <v>56</v>
      </c>
      <c r="C42" s="31" t="s">
        <v>161</v>
      </c>
      <c r="D42" s="31">
        <v>0</v>
      </c>
      <c r="E42" s="30">
        <v>0</v>
      </c>
      <c r="F42" s="31">
        <v>0</v>
      </c>
      <c r="G42" s="31" t="s">
        <v>67</v>
      </c>
      <c r="K42" s="33"/>
    </row>
    <row r="43" spans="1:11" x14ac:dyDescent="0.35">
      <c r="A43" s="29"/>
      <c r="D43" s="28"/>
      <c r="K43" s="34"/>
    </row>
    <row r="44" spans="1:11" x14ac:dyDescent="0.35">
      <c r="D44" s="28"/>
      <c r="K44" s="34"/>
    </row>
    <row r="45" spans="1:11" x14ac:dyDescent="0.35">
      <c r="D45" s="28"/>
    </row>
    <row r="46" spans="1:11" x14ac:dyDescent="0.35">
      <c r="D46" s="28"/>
    </row>
    <row r="50" spans="1:6" x14ac:dyDescent="0.35">
      <c r="A50" s="43" t="s">
        <v>233</v>
      </c>
      <c r="B50" s="43"/>
      <c r="C50" s="113"/>
    </row>
    <row r="51" spans="1:6" x14ac:dyDescent="0.35">
      <c r="A51" s="42" t="s">
        <v>162</v>
      </c>
      <c r="B51" s="42">
        <v>14962665</v>
      </c>
    </row>
    <row r="52" spans="1:6" x14ac:dyDescent="0.35">
      <c r="B52" t="s">
        <v>163</v>
      </c>
      <c r="D52" t="s">
        <v>174</v>
      </c>
      <c r="F52" s="114" t="s">
        <v>182</v>
      </c>
    </row>
    <row r="53" spans="1:6" x14ac:dyDescent="0.35">
      <c r="A53" s="9" t="s">
        <v>43</v>
      </c>
      <c r="B53">
        <v>259</v>
      </c>
      <c r="D53" s="15">
        <f>(5.8/100)*B53</f>
        <v>15.021999999999998</v>
      </c>
      <c r="F53" s="114" t="str">
        <f>C42</f>
        <v>15kCal</v>
      </c>
    </row>
    <row r="54" spans="1:6" x14ac:dyDescent="0.35">
      <c r="A54" s="9" t="s">
        <v>5</v>
      </c>
      <c r="B54">
        <v>3.86</v>
      </c>
      <c r="D54" s="15">
        <f>(5.8/100)*0.9</f>
        <v>5.2199999999999996E-2</v>
      </c>
      <c r="F54" s="114">
        <f>D42</f>
        <v>0</v>
      </c>
    </row>
    <row r="55" spans="1:6" x14ac:dyDescent="0.35">
      <c r="A55" s="71" t="s">
        <v>6</v>
      </c>
      <c r="B55">
        <v>0.42899999999999999</v>
      </c>
      <c r="D55" s="15">
        <f>(5.8/100)*B55</f>
        <v>2.4881999999999998E-2</v>
      </c>
      <c r="F55" s="114" t="str">
        <f>C35</f>
        <v>none</v>
      </c>
    </row>
    <row r="56" spans="1:6" x14ac:dyDescent="0.35">
      <c r="A56" s="71" t="s">
        <v>7</v>
      </c>
      <c r="B56">
        <v>0.10299999999999999</v>
      </c>
      <c r="D56" s="15">
        <f>(5.8/100)*B56</f>
        <v>5.9739999999999993E-3</v>
      </c>
      <c r="F56" s="114" t="str">
        <f>D35</f>
        <v>none</v>
      </c>
    </row>
    <row r="57" spans="1:6" x14ac:dyDescent="0.35">
      <c r="A57" s="71" t="s">
        <v>8</v>
      </c>
      <c r="B57" t="s">
        <v>176</v>
      </c>
      <c r="D57" s="15">
        <f>(5.8/100)*0.007</f>
        <v>4.06E-4</v>
      </c>
      <c r="F57" s="114" t="str">
        <f>E35</f>
        <v>none</v>
      </c>
    </row>
    <row r="58" spans="1:6" x14ac:dyDescent="0.35">
      <c r="A58" s="71" t="s">
        <v>9</v>
      </c>
      <c r="B58" t="s">
        <v>232</v>
      </c>
      <c r="C58" t="s">
        <v>165</v>
      </c>
      <c r="D58" s="15">
        <f>(5.8/100)*0.01</f>
        <v>5.8E-4</v>
      </c>
      <c r="E58" t="s">
        <v>132</v>
      </c>
      <c r="F58" s="114" t="str">
        <f>F35</f>
        <v>none</v>
      </c>
    </row>
    <row r="59" spans="1:6" x14ac:dyDescent="0.35">
      <c r="A59" s="71" t="s">
        <v>10</v>
      </c>
      <c r="B59">
        <v>90.9</v>
      </c>
      <c r="D59" s="15">
        <f>(5.8/100)*B59</f>
        <v>5.2721999999999998</v>
      </c>
      <c r="F59" s="114" t="str">
        <f>C14</f>
        <v>5g</v>
      </c>
    </row>
    <row r="60" spans="1:6" x14ac:dyDescent="0.35">
      <c r="A60" s="71" t="s">
        <v>11</v>
      </c>
      <c r="B60">
        <v>48.1</v>
      </c>
      <c r="D60" s="15">
        <f t="shared" ref="D60:D66" si="2">(5.8/100)*B60</f>
        <v>2.7898000000000001</v>
      </c>
      <c r="F60" s="114" t="str">
        <f>D14</f>
        <v>3g</v>
      </c>
    </row>
    <row r="61" spans="1:6" x14ac:dyDescent="0.35">
      <c r="A61" s="71" t="s">
        <v>12</v>
      </c>
      <c r="B61">
        <v>37.200000000000003</v>
      </c>
      <c r="D61" s="15">
        <f t="shared" si="2"/>
        <v>2.1576</v>
      </c>
      <c r="F61" s="114" t="str">
        <f>E14</f>
        <v>2g</v>
      </c>
    </row>
    <row r="62" spans="1:6" x14ac:dyDescent="0.35">
      <c r="A62" s="71" t="s">
        <v>13</v>
      </c>
      <c r="B62">
        <v>1</v>
      </c>
      <c r="D62" s="15">
        <f t="shared" si="2"/>
        <v>5.7999999999999996E-2</v>
      </c>
      <c r="F62" s="115">
        <f>E42</f>
        <v>0</v>
      </c>
    </row>
    <row r="63" spans="1:6" x14ac:dyDescent="0.35">
      <c r="A63" s="71" t="s">
        <v>14</v>
      </c>
      <c r="F63" s="114">
        <f>F42</f>
        <v>0</v>
      </c>
    </row>
    <row r="64" spans="1:6" x14ac:dyDescent="0.35">
      <c r="A64" s="71" t="s">
        <v>15</v>
      </c>
      <c r="B64" s="113"/>
      <c r="C64" t="s">
        <v>166</v>
      </c>
      <c r="D64">
        <f t="shared" si="2"/>
        <v>0</v>
      </c>
      <c r="E64" t="s">
        <v>132</v>
      </c>
      <c r="F64" s="114" t="str">
        <f>C21</f>
        <v>2% DV</v>
      </c>
    </row>
    <row r="65" spans="1:6" x14ac:dyDescent="0.35">
      <c r="A65" s="71" t="s">
        <v>16</v>
      </c>
      <c r="B65" s="113"/>
      <c r="C65" t="s">
        <v>185</v>
      </c>
      <c r="D65">
        <f t="shared" si="2"/>
        <v>0</v>
      </c>
      <c r="E65" t="s">
        <v>132</v>
      </c>
      <c r="F65" s="114" t="str">
        <f>D21</f>
        <v>30 mg</v>
      </c>
    </row>
    <row r="66" spans="1:6" x14ac:dyDescent="0.35">
      <c r="A66" s="71" t="s">
        <v>17</v>
      </c>
      <c r="B66" s="113"/>
      <c r="C66" t="s">
        <v>185</v>
      </c>
      <c r="D66">
        <f t="shared" si="2"/>
        <v>0</v>
      </c>
      <c r="E66" t="s">
        <v>132</v>
      </c>
      <c r="F66" s="114" t="str">
        <f>G42</f>
        <v>5mg</v>
      </c>
    </row>
    <row r="67" spans="1:6" x14ac:dyDescent="0.35">
      <c r="A67" s="71" t="s">
        <v>18</v>
      </c>
      <c r="B67" s="113"/>
      <c r="C67" t="s">
        <v>166</v>
      </c>
      <c r="D67">
        <f t="shared" ref="D67:D71" si="3">(12/100)*B67</f>
        <v>0</v>
      </c>
      <c r="E67" t="s">
        <v>132</v>
      </c>
      <c r="F67" s="116" t="str">
        <f>E21</f>
        <v>&lt;2% DV</v>
      </c>
    </row>
    <row r="68" spans="1:6" x14ac:dyDescent="0.35">
      <c r="A68" s="71" t="s">
        <v>19</v>
      </c>
      <c r="B68" s="113"/>
      <c r="C68" t="s">
        <v>185</v>
      </c>
      <c r="D68">
        <f t="shared" si="3"/>
        <v>0</v>
      </c>
      <c r="F68" s="114" t="str">
        <f>C28</f>
        <v>none</v>
      </c>
    </row>
    <row r="69" spans="1:6" x14ac:dyDescent="0.35">
      <c r="A69" s="71" t="s">
        <v>20</v>
      </c>
      <c r="B69" s="113"/>
      <c r="C69" t="s">
        <v>185</v>
      </c>
      <c r="D69">
        <f t="shared" si="3"/>
        <v>0</v>
      </c>
      <c r="F69" s="114" t="str">
        <f>D28</f>
        <v>none</v>
      </c>
    </row>
    <row r="70" spans="1:6" x14ac:dyDescent="0.35">
      <c r="A70" s="71" t="s">
        <v>21</v>
      </c>
      <c r="B70" s="113" t="s">
        <v>190</v>
      </c>
      <c r="C70" t="s">
        <v>185</v>
      </c>
      <c r="D70">
        <f>(12/100)*0.001</f>
        <v>1.2E-4</v>
      </c>
      <c r="F70" s="114">
        <f>E28</f>
        <v>0</v>
      </c>
    </row>
    <row r="71" spans="1:6" x14ac:dyDescent="0.35">
      <c r="A71" s="71" t="s">
        <v>22</v>
      </c>
      <c r="B71">
        <v>0.87</v>
      </c>
      <c r="D71">
        <f t="shared" si="3"/>
        <v>0.10439999999999999</v>
      </c>
      <c r="F71" s="114" t="str">
        <f>F28</f>
        <v>0g</v>
      </c>
    </row>
    <row r="72" spans="1:6" x14ac:dyDescent="0.35">
      <c r="F72" s="114"/>
    </row>
  </sheetData>
  <mergeCells count="6">
    <mergeCell ref="A37:A42"/>
    <mergeCell ref="A5:A7"/>
    <mergeCell ref="A9:A14"/>
    <mergeCell ref="A16:A21"/>
    <mergeCell ref="A23:A28"/>
    <mergeCell ref="A30:A35"/>
  </mergeCells>
  <pageMargins left="0.7" right="0.7" top="0.75" bottom="0.75" header="0.3" footer="0.3"/>
  <pageSetup orientation="portrait" r:id="rId1"/>
  <headerFooter>
    <oddHeader>&amp;R&amp;"Calibri"&amp;10&amp;K000000Highly Restricted&amp;1#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0B5F-0912-4EF7-81A9-E74DF1ECC8D6}">
  <dimension ref="A1:W34"/>
  <sheetViews>
    <sheetView zoomScaleNormal="100" workbookViewId="0">
      <selection activeCell="C8" sqref="C8"/>
    </sheetView>
  </sheetViews>
  <sheetFormatPr defaultRowHeight="14.5" x14ac:dyDescent="0.35"/>
  <cols>
    <col min="1" max="1" width="3" bestFit="1" customWidth="1"/>
    <col min="2" max="2" width="20.1796875" bestFit="1" customWidth="1"/>
    <col min="3" max="3" width="13.1796875" bestFit="1" customWidth="1"/>
    <col min="4" max="4" width="16.453125" bestFit="1" customWidth="1"/>
    <col min="5" max="6" width="12.6328125" customWidth="1"/>
    <col min="7" max="23" width="12.6328125" style="66" customWidth="1"/>
  </cols>
  <sheetData>
    <row r="1" spans="1:23" s="44" customFormat="1" x14ac:dyDescent="0.35">
      <c r="B1" s="45" t="s">
        <v>88</v>
      </c>
      <c r="C1" s="46">
        <v>46078</v>
      </c>
      <c r="D1" s="47" t="s">
        <v>89</v>
      </c>
      <c r="E1" s="45" t="s">
        <v>90</v>
      </c>
      <c r="F1" s="47" t="s">
        <v>91</v>
      </c>
      <c r="G1" s="64" t="s">
        <v>92</v>
      </c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</row>
    <row r="2" spans="1:23" x14ac:dyDescent="0.35">
      <c r="B2" t="s">
        <v>35</v>
      </c>
    </row>
    <row r="3" spans="1:23" x14ac:dyDescent="0.35">
      <c r="B3" s="13" t="s">
        <v>36</v>
      </c>
    </row>
    <row r="4" spans="1:23" x14ac:dyDescent="0.35">
      <c r="B4" t="s">
        <v>37</v>
      </c>
      <c r="D4" s="37"/>
    </row>
    <row r="5" spans="1:23" x14ac:dyDescent="0.35">
      <c r="B5" t="s">
        <v>38</v>
      </c>
      <c r="C5" t="s">
        <v>3</v>
      </c>
      <c r="D5" s="13" t="s">
        <v>136</v>
      </c>
    </row>
    <row r="6" spans="1:23" ht="15" thickBot="1" x14ac:dyDescent="0.4">
      <c r="B6" s="13" t="s">
        <v>93</v>
      </c>
      <c r="C6" s="13">
        <v>12</v>
      </c>
      <c r="D6">
        <f>C6*2</f>
        <v>24</v>
      </c>
    </row>
    <row r="7" spans="1:23" ht="15" thickBot="1" x14ac:dyDescent="0.4">
      <c r="B7" s="62" t="s">
        <v>114</v>
      </c>
      <c r="C7" s="63">
        <v>12</v>
      </c>
      <c r="E7" t="s">
        <v>113</v>
      </c>
    </row>
    <row r="8" spans="1:23" ht="27" customHeight="1" x14ac:dyDescent="0.35">
      <c r="B8" s="10" t="s">
        <v>39</v>
      </c>
      <c r="C8" s="11">
        <f>SUM(C14:C34)</f>
        <v>1.0001</v>
      </c>
      <c r="D8" s="16">
        <f>SUM(D14:D21)</f>
        <v>12.001199999999999</v>
      </c>
      <c r="E8" s="76">
        <f>SUM(E14:E34)</f>
        <v>44.942186400000004</v>
      </c>
      <c r="F8" s="76">
        <f>SUM(F14:F34)</f>
        <v>0.13946229600000001</v>
      </c>
      <c r="G8" s="67">
        <f t="shared" ref="G8:W8" si="0">SUM(G14:G34)</f>
        <v>3.2590680000000004E-2</v>
      </c>
      <c r="H8" s="67">
        <f t="shared" si="0"/>
        <v>5.3564880000000004E-3</v>
      </c>
      <c r="I8" s="67">
        <f t="shared" si="0"/>
        <v>0</v>
      </c>
      <c r="J8" s="68">
        <f>SUM(J14:J34)</f>
        <v>0</v>
      </c>
      <c r="K8" s="67">
        <f t="shared" si="0"/>
        <v>11.522554799999998</v>
      </c>
      <c r="L8" s="67">
        <f t="shared" si="0"/>
        <v>2.7045023999999995</v>
      </c>
      <c r="M8" s="67">
        <f t="shared" si="0"/>
        <v>2.2748939999999997</v>
      </c>
      <c r="N8" s="67">
        <f t="shared" si="0"/>
        <v>8.168913599999998</v>
      </c>
      <c r="O8" s="67">
        <f>SUM(O14:O34)</f>
        <v>8.1592487999999985</v>
      </c>
      <c r="P8" s="73">
        <f t="shared" si="0"/>
        <v>0.25577819999999996</v>
      </c>
      <c r="Q8" s="73">
        <f t="shared" si="0"/>
        <v>27.513383999999999</v>
      </c>
      <c r="R8" s="73">
        <f t="shared" si="0"/>
        <v>2.7244457999999998</v>
      </c>
      <c r="S8" s="73">
        <f t="shared" si="0"/>
        <v>5.7393255599999993</v>
      </c>
      <c r="T8" s="69">
        <f t="shared" si="0"/>
        <v>0</v>
      </c>
      <c r="U8" s="68">
        <f t="shared" si="0"/>
        <v>0</v>
      </c>
      <c r="V8" s="70">
        <f t="shared" si="0"/>
        <v>0</v>
      </c>
      <c r="W8" s="67">
        <f t="shared" si="0"/>
        <v>6.8461068E-2</v>
      </c>
    </row>
    <row r="9" spans="1:23" x14ac:dyDescent="0.35">
      <c r="E9" s="148" t="s">
        <v>40</v>
      </c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</row>
    <row r="10" spans="1:23" x14ac:dyDescent="0.35">
      <c r="B10" t="s">
        <v>112</v>
      </c>
      <c r="C10" s="37">
        <v>2</v>
      </c>
      <c r="D10" s="61">
        <f>C6*2</f>
        <v>24</v>
      </c>
      <c r="E10" s="76">
        <f>E8*$C$10</f>
        <v>89.884372800000008</v>
      </c>
      <c r="F10" s="76">
        <f t="shared" ref="F10:W10" si="1">F8*$C$10</f>
        <v>0.27892459200000003</v>
      </c>
      <c r="G10" s="67">
        <f t="shared" si="1"/>
        <v>6.5181360000000008E-2</v>
      </c>
      <c r="H10" s="67">
        <f t="shared" si="1"/>
        <v>1.0712976000000001E-2</v>
      </c>
      <c r="I10" s="67">
        <f t="shared" si="1"/>
        <v>0</v>
      </c>
      <c r="J10" s="68">
        <f t="shared" si="1"/>
        <v>0</v>
      </c>
      <c r="K10" s="67">
        <f t="shared" si="1"/>
        <v>23.045109599999996</v>
      </c>
      <c r="L10" s="67">
        <f t="shared" si="1"/>
        <v>5.4090047999999991</v>
      </c>
      <c r="M10" s="67">
        <f t="shared" si="1"/>
        <v>4.5497879999999995</v>
      </c>
      <c r="N10" s="67">
        <f t="shared" si="1"/>
        <v>16.337827199999996</v>
      </c>
      <c r="O10" s="67">
        <f t="shared" si="1"/>
        <v>16.318497599999997</v>
      </c>
      <c r="P10" s="73">
        <f t="shared" si="1"/>
        <v>0.51155639999999991</v>
      </c>
      <c r="Q10" s="73">
        <f t="shared" si="1"/>
        <v>55.026767999999997</v>
      </c>
      <c r="R10" s="73">
        <f t="shared" si="1"/>
        <v>5.4488915999999996</v>
      </c>
      <c r="S10" s="73">
        <f t="shared" si="1"/>
        <v>11.478651119999999</v>
      </c>
      <c r="T10" s="69">
        <f t="shared" si="1"/>
        <v>0</v>
      </c>
      <c r="U10" s="68">
        <f t="shared" si="1"/>
        <v>0</v>
      </c>
      <c r="V10" s="70">
        <f t="shared" si="1"/>
        <v>0</v>
      </c>
      <c r="W10" s="67">
        <f t="shared" si="1"/>
        <v>0.136922136</v>
      </c>
    </row>
    <row r="11" spans="1:23" x14ac:dyDescent="0.35">
      <c r="D11" s="38"/>
    </row>
    <row r="12" spans="1:23" x14ac:dyDescent="0.35">
      <c r="C12" s="100">
        <f>SUM(C14:C34)</f>
        <v>1.0001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</row>
    <row r="13" spans="1:23" s="9" customFormat="1" ht="29" x14ac:dyDescent="0.35">
      <c r="B13" s="9" t="s">
        <v>0</v>
      </c>
      <c r="C13" s="9" t="s">
        <v>41</v>
      </c>
      <c r="D13" s="9" t="s">
        <v>42</v>
      </c>
      <c r="E13" s="9" t="s">
        <v>43</v>
      </c>
      <c r="F13" s="9" t="s">
        <v>5</v>
      </c>
      <c r="G13" s="71" t="s">
        <v>6</v>
      </c>
      <c r="H13" s="71" t="s">
        <v>7</v>
      </c>
      <c r="I13" s="71" t="s">
        <v>8</v>
      </c>
      <c r="J13" s="71" t="s">
        <v>9</v>
      </c>
      <c r="K13" s="71" t="s">
        <v>10</v>
      </c>
      <c r="L13" s="71" t="s">
        <v>11</v>
      </c>
      <c r="M13" s="71" t="s">
        <v>12</v>
      </c>
      <c r="N13" s="71" t="s">
        <v>13</v>
      </c>
      <c r="O13" s="71" t="s">
        <v>14</v>
      </c>
      <c r="P13" s="71" t="s">
        <v>15</v>
      </c>
      <c r="Q13" s="71" t="s">
        <v>16</v>
      </c>
      <c r="R13" s="71" t="s">
        <v>17</v>
      </c>
      <c r="S13" s="71" t="s">
        <v>18</v>
      </c>
      <c r="T13" s="71" t="s">
        <v>19</v>
      </c>
      <c r="U13" s="71" t="s">
        <v>20</v>
      </c>
      <c r="V13" s="71" t="s">
        <v>21</v>
      </c>
      <c r="W13" s="71" t="s">
        <v>22</v>
      </c>
    </row>
    <row r="14" spans="1:23" x14ac:dyDescent="0.35">
      <c r="A14">
        <v>1</v>
      </c>
      <c r="B14" s="14" t="s">
        <v>23</v>
      </c>
      <c r="C14" s="12">
        <v>0.26889999999999997</v>
      </c>
      <c r="D14" s="17">
        <f>C14*$C$7</f>
        <v>3.2267999999999999</v>
      </c>
      <c r="E14" s="76">
        <f>VLOOKUP($B14,Ingredients!$A:$W,5,FALSE)*$D14/100</f>
        <v>11.642294400000001</v>
      </c>
      <c r="F14" s="76">
        <f>VLOOKUP($B14,Ingredients!$A:$W,6,FALSE)*$D14/100</f>
        <v>0.13946229600000001</v>
      </c>
      <c r="G14" s="67">
        <f>VLOOKUP($B14,Ingredients!$A:$W,7,FALSE)*$D14/100</f>
        <v>3.2590680000000004E-2</v>
      </c>
      <c r="H14" s="67">
        <f>VLOOKUP($B14,Ingredients!$A:$W,8,FALSE)*$D14/100</f>
        <v>5.3564880000000004E-3</v>
      </c>
      <c r="I14" s="67">
        <f>VLOOKUP($B14,Ingredients!$A:$W,9,FALSE)*$D14/100</f>
        <v>0</v>
      </c>
      <c r="J14" s="68">
        <f>VLOOKUP($B14,Ingredients!$A:$W,10,FALSE)*$D14/100</f>
        <v>0</v>
      </c>
      <c r="K14" s="67">
        <f>VLOOKUP($B14,Ingredients!$A:$W,11,FALSE)*$D14/100</f>
        <v>2.8073160000000001</v>
      </c>
      <c r="L14" s="67">
        <f>VLOOKUP($B14,Ingredients!$A:$W,12,FALSE)*$D14/100</f>
        <v>2.7040583999999996</v>
      </c>
      <c r="M14" s="67">
        <f>VLOOKUP($B14,Ingredients!$A:$W,13,FALSE)*$D14/100</f>
        <v>2.2748939999999997</v>
      </c>
      <c r="N14" s="67">
        <f>VLOOKUP($B14,Ingredients!$A:$W,14,FALSE)*$D14/100</f>
        <v>3.2268000000000002E-3</v>
      </c>
      <c r="O14" s="67">
        <f>VLOOKUP($B14,Ingredients!$A:$W,15,FALSE)*$D14/100</f>
        <v>0</v>
      </c>
      <c r="P14" s="73">
        <f>VLOOKUP($B14,Ingredients!$A:$W,16,FALSE)*$D14/100</f>
        <v>0.25169039999999998</v>
      </c>
      <c r="Q14" s="73">
        <f>VLOOKUP($B14,Ingredients!$A:$W,17,FALSE)*$D14/100</f>
        <v>27.330995999999999</v>
      </c>
      <c r="R14" s="73">
        <f>VLOOKUP($B14,Ingredients!$A:$W,18,FALSE)*$D14/100</f>
        <v>2.2700537999999999</v>
      </c>
      <c r="S14" s="73">
        <f>VLOOKUP($B14,Ingredients!$A:$W,19,FALSE)*$D14/100</f>
        <v>5.652385559999999</v>
      </c>
      <c r="T14" s="69">
        <f>VLOOKUP($B14,Ingredients!$A:$W,20,FALSE)*$D14/100</f>
        <v>0</v>
      </c>
      <c r="U14" s="68">
        <f>VLOOKUP($B14,Ingredients!$A:$W,21,FALSE)*$D14/100</f>
        <v>0</v>
      </c>
      <c r="V14" s="70">
        <f>VLOOKUP($B14,Ingredients!$A:$W,22,FALSE)*$D14/100</f>
        <v>0</v>
      </c>
      <c r="W14" s="67">
        <f>VLOOKUP($B14,Ingredients!$A:$W,23,FALSE)*$D14/100</f>
        <v>6.7795068E-2</v>
      </c>
    </row>
    <row r="15" spans="1:23" x14ac:dyDescent="0.35">
      <c r="A15">
        <v>2</v>
      </c>
      <c r="B15" s="14" t="s">
        <v>240</v>
      </c>
      <c r="C15" s="12">
        <v>0.68130000000000002</v>
      </c>
      <c r="D15" s="17">
        <f>C15*$C$7</f>
        <v>8.1755999999999993</v>
      </c>
      <c r="E15" s="76">
        <f>VLOOKUP($B15,Ingredients!$A:$W,5,FALSE)*$D15/100</f>
        <v>31.639571999999998</v>
      </c>
      <c r="F15" s="76">
        <f>VLOOKUP($B15,Ingredients!$A:$W,6,FALSE)*$D15/100</f>
        <v>0</v>
      </c>
      <c r="G15" s="67">
        <f>VLOOKUP($B15,Ingredients!$A:$W,7,FALSE)*$D15/100</f>
        <v>0</v>
      </c>
      <c r="H15" s="67">
        <f>VLOOKUP($B15,Ingredients!$A:$W,8,FALSE)*$D15/100</f>
        <v>0</v>
      </c>
      <c r="I15" s="67">
        <f>VLOOKUP($B15,Ingredients!$A:$W,9,FALSE)*$D15/100</f>
        <v>0</v>
      </c>
      <c r="J15" s="68">
        <f>VLOOKUP($B15,Ingredients!$A:$W,10,FALSE)*$D15/100</f>
        <v>0</v>
      </c>
      <c r="K15" s="67">
        <f>VLOOKUP($B15,Ingredients!$A:$W,11,FALSE)*$D15/100</f>
        <v>8.1592487999999985</v>
      </c>
      <c r="L15" s="67">
        <f>VLOOKUP($B15,Ingredients!$A:$W,12,FALSE)*$D15/100</f>
        <v>0</v>
      </c>
      <c r="M15" s="67">
        <f>VLOOKUP($B15,Ingredients!$A:$W,13,FALSE)*$D15/100</f>
        <v>0</v>
      </c>
      <c r="N15" s="67">
        <f>VLOOKUP($B15,Ingredients!$A:$W,14,FALSE)*$D15/100</f>
        <v>8.1592487999999985</v>
      </c>
      <c r="O15" s="67">
        <f>VLOOKUP($B15,Ingredients!$A:$W,15,FALSE)*$D15/100</f>
        <v>8.1592487999999985</v>
      </c>
      <c r="P15" s="73">
        <f>VLOOKUP($B15,Ingredients!$A:$W,16,FALSE)*$D15/100</f>
        <v>4.0877999999999999E-3</v>
      </c>
      <c r="Q15" s="73">
        <f>VLOOKUP($B15,Ingredients!$A:$W,17,FALSE)*$D15/100</f>
        <v>0.16351199999999999</v>
      </c>
      <c r="R15" s="73">
        <f>VLOOKUP($B15,Ingredients!$A:$W,18,FALSE)*$D15/100</f>
        <v>8.1755999999999995E-2</v>
      </c>
      <c r="S15" s="73">
        <f>VLOOKUP($B15,Ingredients!$A:$W,19,FALSE)*$D15/100</f>
        <v>8.1755999999999995E-2</v>
      </c>
      <c r="T15" s="69">
        <f>VLOOKUP($B15,Ingredients!$A:$W,20,FALSE)*$D15/100</f>
        <v>0</v>
      </c>
      <c r="U15" s="68">
        <f>VLOOKUP($B15,Ingredients!$A:$W,21,FALSE)*$D15/100</f>
        <v>0</v>
      </c>
      <c r="V15" s="70">
        <f>VLOOKUP($B15,Ingredients!$A:$W,22,FALSE)*$D15/100</f>
        <v>0</v>
      </c>
      <c r="W15" s="67">
        <f>VLOOKUP($B15,Ingredients!$A:$W,23,FALSE)*$D15/100</f>
        <v>0</v>
      </c>
    </row>
    <row r="16" spans="1:23" x14ac:dyDescent="0.35">
      <c r="A16">
        <v>3</v>
      </c>
      <c r="B16" s="14" t="s">
        <v>26</v>
      </c>
      <c r="C16" s="12">
        <v>3.1E-2</v>
      </c>
      <c r="D16" s="17">
        <f>C16*$C$7</f>
        <v>0.372</v>
      </c>
      <c r="E16" s="76">
        <f>VLOOKUP($B16,Ingredients!$A:$W,5,FALSE)*$D16/100</f>
        <v>0.91883999999999999</v>
      </c>
      <c r="F16" s="76">
        <f>VLOOKUP($B16,Ingredients!$A:$W,6,FALSE)*$D16/100</f>
        <v>0</v>
      </c>
      <c r="G16" s="67">
        <f>VLOOKUP($B16,Ingredients!$A:$W,7,FALSE)*$D16/100</f>
        <v>0</v>
      </c>
      <c r="H16" s="67">
        <f>VLOOKUP($B16,Ingredients!$A:$W,8,FALSE)*$D16/100</f>
        <v>0</v>
      </c>
      <c r="I16" s="67">
        <f>VLOOKUP($B16,Ingredients!$A:$W,9,FALSE)*$D16/100</f>
        <v>0</v>
      </c>
      <c r="J16" s="68">
        <f>VLOOKUP($B16,Ingredients!$A:$W,10,FALSE)*$D16/100</f>
        <v>0</v>
      </c>
      <c r="K16" s="67">
        <f>VLOOKUP($B16,Ingredients!$A:$W,11,FALSE)*$D16/100</f>
        <v>0.36995400000000006</v>
      </c>
      <c r="L16" s="67">
        <f>VLOOKUP($B16,Ingredients!$A:$W,12,FALSE)*$D16/100</f>
        <v>0</v>
      </c>
      <c r="M16" s="67">
        <f>VLOOKUP($B16,Ingredients!$A:$W,13,FALSE)*$D16/100</f>
        <v>0</v>
      </c>
      <c r="N16" s="67">
        <f>VLOOKUP($B16,Ingredients!$A:$W,14,FALSE)*$D16/100</f>
        <v>0</v>
      </c>
      <c r="O16" s="67">
        <f>VLOOKUP($B16,Ingredients!$A:$W,15,FALSE)*$D16/100</f>
        <v>0</v>
      </c>
      <c r="P16" s="73">
        <f>VLOOKUP($B16,Ingredients!$A:$W,16,FALSE)*$D16/100</f>
        <v>0</v>
      </c>
      <c r="Q16" s="73">
        <f>VLOOKUP($B16,Ingredients!$A:$W,17,FALSE)*$D16/100</f>
        <v>1.1159999999999998E-3</v>
      </c>
      <c r="R16" s="73">
        <f>VLOOKUP($B16,Ingredients!$A:$W,18,FALSE)*$D16/100</f>
        <v>1.1159999999999998E-3</v>
      </c>
      <c r="S16" s="73">
        <f>VLOOKUP($B16,Ingredients!$A:$W,19,FALSE)*$D16/100</f>
        <v>7.4400000000000009E-4</v>
      </c>
      <c r="T16" s="69">
        <f>VLOOKUP($B16,Ingredients!$A:$W,20,FALSE)*$D16/100</f>
        <v>0</v>
      </c>
      <c r="U16" s="68">
        <f>VLOOKUP($B16,Ingredients!$A:$W,21,FALSE)*$D16/100</f>
        <v>0</v>
      </c>
      <c r="V16" s="70">
        <f>VLOOKUP($B16,Ingredients!$A:$W,22,FALSE)*$D16/100</f>
        <v>0</v>
      </c>
      <c r="W16" s="67">
        <f>VLOOKUP($B16,Ingredients!$A:$W,23,FALSE)*$D16/100</f>
        <v>0</v>
      </c>
    </row>
    <row r="17" spans="1:23" x14ac:dyDescent="0.35">
      <c r="A17">
        <v>4</v>
      </c>
      <c r="B17" s="14" t="s">
        <v>80</v>
      </c>
      <c r="C17" s="35">
        <v>1.8499999999999999E-2</v>
      </c>
      <c r="D17" s="17">
        <f>C17*$C$7</f>
        <v>0.22199999999999998</v>
      </c>
      <c r="E17" s="76">
        <f>VLOOKUP($B17,Ingredients!$A:$W,5,FALSE)*$D17/100</f>
        <v>0.74147999999999992</v>
      </c>
      <c r="F17" s="76">
        <f>VLOOKUP($B17,Ingredients!$A:$W,6,FALSE)*$D17/100</f>
        <v>0</v>
      </c>
      <c r="G17" s="67">
        <f>VLOOKUP($B17,Ingredients!$A:$W,7,FALSE)*$D17/100</f>
        <v>0</v>
      </c>
      <c r="H17" s="67">
        <f>VLOOKUP($B17,Ingredients!$A:$W,8,FALSE)*$D17/100</f>
        <v>0</v>
      </c>
      <c r="I17" s="67">
        <f>VLOOKUP($B17,Ingredients!$A:$W,9,FALSE)*$D17/100</f>
        <v>0</v>
      </c>
      <c r="J17" s="68">
        <f>VLOOKUP($B17,Ingredients!$A:$W,10,FALSE)*$D17/100</f>
        <v>0</v>
      </c>
      <c r="K17" s="67">
        <f>VLOOKUP($B17,Ingredients!$A:$W,11,FALSE)*$D17/100</f>
        <v>0.18603599999999998</v>
      </c>
      <c r="L17" s="67">
        <f>VLOOKUP($B17,Ingredients!$A:$W,12,FALSE)*$D17/100</f>
        <v>4.4399999999999995E-4</v>
      </c>
      <c r="M17" s="67">
        <f>VLOOKUP($B17,Ingredients!$A:$W,13,FALSE)*$D17/100</f>
        <v>0</v>
      </c>
      <c r="N17" s="67">
        <f>VLOOKUP($B17,Ingredients!$A:$W,14,FALSE)*$D17/100</f>
        <v>6.4379999999999993E-3</v>
      </c>
      <c r="O17" s="67">
        <f>VLOOKUP($B17,Ingredients!$A:$W,15,FALSE)*$D17/100</f>
        <v>0</v>
      </c>
      <c r="P17" s="73">
        <f>VLOOKUP($B17,Ingredients!$A:$W,16,FALSE)*$D17/100</f>
        <v>0</v>
      </c>
      <c r="Q17" s="73">
        <f>VLOOKUP($B17,Ingredients!$A:$W,17,FALSE)*$D17/100</f>
        <v>1.7759999999999998E-2</v>
      </c>
      <c r="R17" s="73">
        <f>VLOOKUP($B17,Ingredients!$A:$W,18,FALSE)*$D17/100</f>
        <v>0.21311999999999998</v>
      </c>
      <c r="S17" s="73">
        <f>VLOOKUP($B17,Ingredients!$A:$W,19,FALSE)*$D17/100</f>
        <v>4.4399999999999995E-3</v>
      </c>
      <c r="T17" s="69">
        <f>VLOOKUP($B17,Ingredients!$A:$W,20,FALSE)*$D17/100</f>
        <v>0</v>
      </c>
      <c r="U17" s="68">
        <f>VLOOKUP($B17,Ingredients!$A:$W,21,FALSE)*$D17/100</f>
        <v>0</v>
      </c>
      <c r="V17" s="70">
        <f>VLOOKUP($B17,Ingredients!$A:$W,22,FALSE)*$D17/100</f>
        <v>0</v>
      </c>
      <c r="W17" s="67">
        <f>VLOOKUP($B17,Ingredients!$A:$W,23,FALSE)*$D17/100</f>
        <v>6.6599999999999993E-4</v>
      </c>
    </row>
    <row r="18" spans="1:23" ht="16.399999999999999" customHeight="1" x14ac:dyDescent="0.35">
      <c r="A18">
        <v>5</v>
      </c>
      <c r="B18" s="14" t="s">
        <v>84</v>
      </c>
      <c r="C18" s="35">
        <v>4.0000000000000002E-4</v>
      </c>
      <c r="D18" s="17">
        <f>C18*$C$7</f>
        <v>4.8000000000000004E-3</v>
      </c>
      <c r="E18" s="76">
        <f>VLOOKUP($B18,Ingredients!$A:$W,5,FALSE)*$D18/100</f>
        <v>0</v>
      </c>
      <c r="F18" s="76">
        <f>VLOOKUP($B18,Ingredients!$A:$W,6,FALSE)*$D18/100</f>
        <v>0</v>
      </c>
      <c r="G18" s="67">
        <f>VLOOKUP($B18,Ingredients!$A:$W,7,FALSE)*$D18/100</f>
        <v>0</v>
      </c>
      <c r="H18" s="67">
        <f>VLOOKUP($B18,Ingredients!$A:$W,8,FALSE)*$D18/100</f>
        <v>0</v>
      </c>
      <c r="I18" s="67">
        <f>VLOOKUP($B18,Ingredients!$A:$W,9,FALSE)*$D18/100</f>
        <v>0</v>
      </c>
      <c r="J18" s="68">
        <f>VLOOKUP($B18,Ingredients!$A:$W,10,FALSE)*$D18/100</f>
        <v>0</v>
      </c>
      <c r="K18" s="67">
        <f>VLOOKUP($B18,Ingredients!$A:$W,11,FALSE)*$D18/100</f>
        <v>0</v>
      </c>
      <c r="L18" s="67">
        <f>VLOOKUP($B18,Ingredients!$A:$W,12,FALSE)*$D18/100</f>
        <v>0</v>
      </c>
      <c r="M18" s="67">
        <f>VLOOKUP($B18,Ingredients!$A:$W,13,FALSE)*$D18/100</f>
        <v>0</v>
      </c>
      <c r="N18" s="67">
        <f>VLOOKUP($B18,Ingredients!$A:$W,14,FALSE)*$D18/100</f>
        <v>0</v>
      </c>
      <c r="O18" s="67">
        <f>VLOOKUP($B18,Ingredients!$A:$W,15,FALSE)*$D18/100</f>
        <v>0</v>
      </c>
      <c r="P18" s="73">
        <f>VLOOKUP($B18,Ingredients!$A:$W,16,FALSE)*$D18/100</f>
        <v>0</v>
      </c>
      <c r="Q18" s="73">
        <f>VLOOKUP($B18,Ingredients!$A:$W,17,FALSE)*$D18/100</f>
        <v>0</v>
      </c>
      <c r="R18" s="73">
        <f>VLOOKUP($B18,Ingredients!$A:$W,18,FALSE)*$D18/100</f>
        <v>0.15840000000000001</v>
      </c>
      <c r="S18" s="73">
        <f>VLOOKUP($B18,Ingredients!$A:$W,19,FALSE)*$D18/100</f>
        <v>0</v>
      </c>
      <c r="T18" s="69">
        <f>VLOOKUP($B18,Ingredients!$A:$W,20,FALSE)*$D18/100</f>
        <v>0</v>
      </c>
      <c r="U18" s="68">
        <f>VLOOKUP($B18,Ingredients!$A:$W,21,FALSE)*$D18/100</f>
        <v>0</v>
      </c>
      <c r="V18" s="70">
        <f>VLOOKUP($B18,Ingredients!$A:$W,22,FALSE)*$D18/100</f>
        <v>0</v>
      </c>
      <c r="W18" s="67">
        <f>VLOOKUP($B18,Ingredients!$A:$W,23,FALSE)*$D18/100</f>
        <v>0</v>
      </c>
    </row>
    <row r="19" spans="1:23" x14ac:dyDescent="0.35">
      <c r="B19" s="14"/>
      <c r="C19" s="35"/>
      <c r="D19" s="17"/>
      <c r="E19" s="75"/>
      <c r="F19" s="75"/>
      <c r="G19" s="67"/>
      <c r="H19" s="67"/>
      <c r="I19" s="67"/>
      <c r="J19" s="68"/>
      <c r="K19" s="67"/>
      <c r="L19" s="67"/>
      <c r="M19" s="67"/>
      <c r="N19" s="67"/>
      <c r="O19" s="67"/>
      <c r="P19" s="73"/>
      <c r="Q19" s="73"/>
      <c r="R19" s="73"/>
      <c r="S19" s="73"/>
      <c r="T19" s="69"/>
      <c r="U19" s="68"/>
      <c r="V19" s="70"/>
      <c r="W19" s="67"/>
    </row>
    <row r="20" spans="1:23" x14ac:dyDescent="0.35">
      <c r="A20">
        <v>7</v>
      </c>
      <c r="B20" s="14"/>
      <c r="C20" s="35"/>
      <c r="D20" s="17"/>
      <c r="E20" s="75"/>
      <c r="F20" s="75"/>
      <c r="G20" s="67"/>
      <c r="H20" s="67"/>
      <c r="I20" s="67"/>
      <c r="J20" s="68"/>
      <c r="K20" s="67"/>
      <c r="L20" s="67"/>
      <c r="M20" s="67"/>
      <c r="N20" s="67"/>
      <c r="O20" s="67"/>
      <c r="P20" s="73"/>
      <c r="Q20" s="73"/>
      <c r="R20" s="73"/>
      <c r="S20" s="73"/>
      <c r="T20" s="69"/>
      <c r="U20" s="68"/>
      <c r="V20" s="70"/>
      <c r="W20" s="67"/>
    </row>
    <row r="21" spans="1:23" x14ac:dyDescent="0.35">
      <c r="A21">
        <v>8</v>
      </c>
      <c r="B21" s="14"/>
      <c r="C21" s="35"/>
      <c r="D21" s="17"/>
      <c r="E21" s="75"/>
      <c r="F21" s="75"/>
      <c r="G21" s="67"/>
      <c r="H21" s="67"/>
      <c r="I21" s="67"/>
      <c r="J21" s="68"/>
      <c r="K21" s="67"/>
      <c r="L21" s="67"/>
      <c r="M21" s="67"/>
      <c r="N21" s="67"/>
      <c r="O21" s="67"/>
      <c r="P21" s="73"/>
      <c r="Q21" s="73"/>
      <c r="R21" s="73"/>
      <c r="S21" s="73"/>
      <c r="T21" s="69"/>
      <c r="U21" s="68"/>
      <c r="V21" s="70"/>
      <c r="W21" s="67"/>
    </row>
    <row r="22" spans="1:23" x14ac:dyDescent="0.35">
      <c r="A22">
        <v>9</v>
      </c>
      <c r="B22" s="14"/>
      <c r="C22" s="35"/>
      <c r="D22" s="17"/>
      <c r="E22" s="75"/>
      <c r="F22" s="75"/>
      <c r="G22" s="67"/>
      <c r="H22" s="67"/>
      <c r="I22" s="67"/>
      <c r="J22" s="68"/>
      <c r="K22" s="67"/>
      <c r="L22" s="67"/>
      <c r="M22" s="67"/>
      <c r="N22" s="67"/>
      <c r="O22" s="67"/>
      <c r="P22" s="73"/>
      <c r="Q22" s="73"/>
      <c r="R22" s="73"/>
      <c r="S22" s="73"/>
      <c r="T22" s="69"/>
      <c r="U22" s="68"/>
      <c r="V22" s="70"/>
      <c r="W22" s="67"/>
    </row>
    <row r="23" spans="1:23" x14ac:dyDescent="0.35">
      <c r="A23">
        <v>10</v>
      </c>
      <c r="B23" s="14"/>
      <c r="C23" s="13"/>
      <c r="D23" s="17"/>
      <c r="E23" s="75"/>
      <c r="F23" s="75"/>
      <c r="G23" s="67"/>
      <c r="H23" s="67"/>
      <c r="I23" s="67"/>
      <c r="J23" s="68"/>
      <c r="K23" s="67"/>
      <c r="L23" s="67"/>
      <c r="M23" s="67"/>
      <c r="N23" s="67"/>
      <c r="O23" s="67"/>
      <c r="P23" s="73"/>
      <c r="Q23" s="73"/>
      <c r="R23" s="73"/>
      <c r="S23" s="73"/>
      <c r="T23" s="69"/>
      <c r="U23" s="68"/>
      <c r="V23" s="70"/>
      <c r="W23" s="67"/>
    </row>
    <row r="24" spans="1:23" x14ac:dyDescent="0.35">
      <c r="A24">
        <v>11</v>
      </c>
      <c r="B24" s="14"/>
      <c r="C24" s="13"/>
      <c r="D24" s="17"/>
      <c r="E24" s="75"/>
      <c r="F24" s="75"/>
      <c r="G24" s="67"/>
      <c r="H24" s="67"/>
      <c r="I24" s="67"/>
      <c r="J24" s="68"/>
      <c r="K24" s="67"/>
      <c r="L24" s="67"/>
      <c r="M24" s="67"/>
      <c r="N24" s="67"/>
      <c r="O24" s="67"/>
      <c r="P24" s="73"/>
      <c r="Q24" s="73"/>
      <c r="R24" s="73"/>
      <c r="S24" s="73"/>
      <c r="T24" s="69"/>
      <c r="U24" s="68"/>
      <c r="V24" s="70"/>
      <c r="W24" s="67"/>
    </row>
    <row r="25" spans="1:23" x14ac:dyDescent="0.35">
      <c r="A25">
        <v>12</v>
      </c>
      <c r="B25" s="14"/>
      <c r="C25" s="13"/>
      <c r="D25" s="17"/>
      <c r="E25" s="75"/>
      <c r="F25" s="75"/>
      <c r="G25" s="67"/>
      <c r="H25" s="67"/>
      <c r="I25" s="67"/>
      <c r="J25" s="68"/>
      <c r="K25" s="67"/>
      <c r="L25" s="67"/>
      <c r="M25" s="67"/>
      <c r="N25" s="67"/>
      <c r="O25" s="67"/>
      <c r="P25" s="73"/>
      <c r="Q25" s="73"/>
      <c r="R25" s="73"/>
      <c r="S25" s="73"/>
      <c r="T25" s="69"/>
      <c r="U25" s="68"/>
      <c r="V25" s="70"/>
      <c r="W25" s="67"/>
    </row>
    <row r="26" spans="1:23" x14ac:dyDescent="0.35">
      <c r="A26">
        <v>13</v>
      </c>
      <c r="B26" s="14"/>
      <c r="C26" s="13"/>
      <c r="D26" s="17"/>
      <c r="E26" s="75"/>
      <c r="F26" s="75"/>
      <c r="G26" s="67"/>
      <c r="H26" s="67"/>
      <c r="I26" s="67"/>
      <c r="J26" s="68"/>
      <c r="K26" s="67"/>
      <c r="L26" s="67"/>
      <c r="M26" s="67"/>
      <c r="N26" s="67"/>
      <c r="O26" s="67"/>
      <c r="P26" s="73"/>
      <c r="Q26" s="73"/>
      <c r="R26" s="73"/>
      <c r="S26" s="73"/>
      <c r="T26" s="69"/>
      <c r="U26" s="68"/>
      <c r="V26" s="70"/>
      <c r="W26" s="67"/>
    </row>
    <row r="27" spans="1:23" x14ac:dyDescent="0.35">
      <c r="A27">
        <v>14</v>
      </c>
      <c r="B27" s="14"/>
      <c r="C27" s="13"/>
      <c r="D27" s="17"/>
      <c r="E27" s="75"/>
      <c r="F27" s="75"/>
      <c r="G27" s="67"/>
      <c r="H27" s="67"/>
      <c r="I27" s="67"/>
      <c r="J27" s="68"/>
      <c r="K27" s="67"/>
      <c r="L27" s="67"/>
      <c r="M27" s="67"/>
      <c r="N27" s="67"/>
      <c r="O27" s="67"/>
      <c r="P27" s="73"/>
      <c r="Q27" s="73"/>
      <c r="R27" s="73"/>
      <c r="S27" s="73"/>
      <c r="T27" s="69"/>
      <c r="U27" s="68"/>
      <c r="V27" s="70"/>
      <c r="W27" s="67"/>
    </row>
    <row r="28" spans="1:23" x14ac:dyDescent="0.35">
      <c r="A28">
        <v>15</v>
      </c>
      <c r="B28" s="14"/>
      <c r="C28" s="13"/>
      <c r="D28" s="17"/>
      <c r="E28" s="75"/>
      <c r="F28" s="75"/>
      <c r="G28" s="67"/>
      <c r="H28" s="67"/>
      <c r="I28" s="67"/>
      <c r="J28" s="68"/>
      <c r="K28" s="67"/>
      <c r="L28" s="67"/>
      <c r="M28" s="67"/>
      <c r="N28" s="67"/>
      <c r="O28" s="67"/>
      <c r="P28" s="73"/>
      <c r="Q28" s="73"/>
      <c r="R28" s="73"/>
      <c r="S28" s="73"/>
      <c r="T28" s="69"/>
      <c r="U28" s="68"/>
      <c r="V28" s="70"/>
      <c r="W28" s="67"/>
    </row>
    <row r="29" spans="1:23" x14ac:dyDescent="0.35">
      <c r="A29">
        <v>16</v>
      </c>
      <c r="B29" s="14"/>
      <c r="C29" s="13"/>
      <c r="D29" s="17"/>
      <c r="E29" s="15"/>
      <c r="F29" s="15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</row>
    <row r="30" spans="1:23" x14ac:dyDescent="0.35">
      <c r="A30">
        <v>17</v>
      </c>
      <c r="B30" s="14"/>
      <c r="C30" s="13"/>
      <c r="D30" s="17"/>
      <c r="E30" s="15"/>
      <c r="F30" s="15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</row>
    <row r="31" spans="1:23" x14ac:dyDescent="0.35">
      <c r="A31">
        <v>18</v>
      </c>
      <c r="B31" s="14"/>
      <c r="C31" s="13"/>
      <c r="D31" s="17"/>
      <c r="E31" s="15"/>
      <c r="F31" s="15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</row>
    <row r="32" spans="1:23" x14ac:dyDescent="0.35">
      <c r="A32">
        <v>19</v>
      </c>
      <c r="B32" s="14"/>
      <c r="C32" s="13"/>
      <c r="D32" s="17"/>
      <c r="E32" s="15"/>
      <c r="F32" s="15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</row>
    <row r="33" spans="1:23" x14ac:dyDescent="0.35">
      <c r="A33">
        <v>20</v>
      </c>
      <c r="B33" s="14"/>
      <c r="C33" s="13"/>
      <c r="D33" s="17"/>
      <c r="E33" s="15"/>
      <c r="F33" s="15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</row>
    <row r="34" spans="1:23" x14ac:dyDescent="0.35">
      <c r="A34">
        <v>21</v>
      </c>
      <c r="B34" s="14"/>
      <c r="C34" s="13"/>
      <c r="D34" s="17"/>
      <c r="E34" s="15"/>
      <c r="F34" s="15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</row>
  </sheetData>
  <mergeCells count="1">
    <mergeCell ref="E9:W9"/>
  </mergeCells>
  <pageMargins left="0.7" right="0.7" top="0.75" bottom="0.75" header="0.3" footer="0.3"/>
  <pageSetup orientation="portrait" r:id="rId1"/>
  <headerFooter>
    <oddHeader>&amp;R&amp;"Calibri"&amp;10&amp;K000000Highly Restricted&amp;1#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8616299-57E5-40D5-9D8E-BCE4F2CD6EA8}">
          <x14:formula1>
            <xm:f>Ingredients!$A$3:$A$1048576</xm:f>
          </x14:formula1>
          <xm:sqref>B14:B34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E1AA9-2705-49D0-BD33-AD7D7CE69553}">
  <dimension ref="A1:K72"/>
  <sheetViews>
    <sheetView topLeftCell="A34" zoomScaleNormal="100" workbookViewId="0">
      <selection activeCell="C27" sqref="C27"/>
    </sheetView>
  </sheetViews>
  <sheetFormatPr defaultColWidth="9.1796875" defaultRowHeight="14.5" x14ac:dyDescent="0.35"/>
  <cols>
    <col min="1" max="1" width="17.453125" bestFit="1" customWidth="1"/>
    <col min="2" max="2" width="8.81640625" bestFit="1" customWidth="1"/>
    <col min="3" max="3" width="30.54296875" bestFit="1" customWidth="1"/>
    <col min="4" max="4" width="33" customWidth="1"/>
    <col min="5" max="5" width="31.54296875" bestFit="1" customWidth="1"/>
    <col min="6" max="6" width="26.453125" customWidth="1"/>
    <col min="7" max="7" width="27.1796875" customWidth="1"/>
    <col min="8" max="8" width="23.54296875" customWidth="1"/>
    <col min="9" max="9" width="6.81640625" bestFit="1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.81640625" bestFit="1" customWidth="1"/>
    <col min="14" max="14" width="8.1796875" bestFit="1" customWidth="1"/>
    <col min="15" max="15" width="9.453125" bestFit="1" customWidth="1"/>
    <col min="16" max="16" width="8.1796875" bestFit="1" customWidth="1"/>
    <col min="17" max="17" width="7.54296875" bestFit="1" customWidth="1"/>
  </cols>
  <sheetData>
    <row r="1" spans="1:9" x14ac:dyDescent="0.35">
      <c r="A1" s="13" t="s">
        <v>36</v>
      </c>
    </row>
    <row r="2" spans="1:9" x14ac:dyDescent="0.35">
      <c r="A2" t="s">
        <v>94</v>
      </c>
      <c r="B2" s="13" t="s">
        <v>136</v>
      </c>
      <c r="D2" t="str">
        <f>A2&amp;" "&amp; B2</f>
        <v>Formulation STOS</v>
      </c>
      <c r="G2" cm="1">
        <f t="array" aca="1" ref="G2" ca="1">INDIRECT("'"&amp;D2&amp;"'!C7")</f>
        <v>12</v>
      </c>
      <c r="H2" t="s">
        <v>46</v>
      </c>
      <c r="I2" t="s">
        <v>99</v>
      </c>
    </row>
    <row r="3" spans="1:9" x14ac:dyDescent="0.35">
      <c r="A3" t="str">
        <f>'Formulation STOF2'!B6</f>
        <v>Smooth Texture Sugar Free Orange Natural Dyes</v>
      </c>
      <c r="D3" t="s">
        <v>44</v>
      </c>
      <c r="E3" t="s">
        <v>45</v>
      </c>
      <c r="G3" s="27" cm="1">
        <f t="array" aca="1" ref="G3" ca="1">INDIRECT("'"&amp;D2&amp;"'!D6")</f>
        <v>24</v>
      </c>
      <c r="H3" t="s">
        <v>46</v>
      </c>
      <c r="I3" t="s">
        <v>100</v>
      </c>
    </row>
    <row r="5" spans="1:9" ht="15.5" x14ac:dyDescent="0.35">
      <c r="A5" s="146" t="s">
        <v>104</v>
      </c>
      <c r="B5" t="s">
        <v>101</v>
      </c>
      <c r="C5" s="18">
        <f ca="1">(4*F24)+(4*C10)+(9*C31)</f>
        <v>46.657379591999991</v>
      </c>
      <c r="D5" s="50" t="s">
        <v>95</v>
      </c>
      <c r="E5" s="74" t="s">
        <v>96</v>
      </c>
      <c r="F5" s="74" t="s">
        <v>98</v>
      </c>
    </row>
    <row r="6" spans="1:9" ht="15.5" x14ac:dyDescent="0.35">
      <c r="A6" s="146"/>
      <c r="B6" t="s">
        <v>102</v>
      </c>
      <c r="C6" s="18">
        <f ca="1">(4*F24)+(9*C31)+(4*(C10-D10))+(2*D10)</f>
        <v>41.248374791999993</v>
      </c>
      <c r="D6" s="50" t="s">
        <v>95</v>
      </c>
      <c r="E6" s="74" t="s">
        <v>97</v>
      </c>
      <c r="F6" s="74" t="s">
        <v>115</v>
      </c>
    </row>
    <row r="7" spans="1:9" ht="15.5" x14ac:dyDescent="0.35">
      <c r="A7" s="146"/>
      <c r="B7" t="s">
        <v>103</v>
      </c>
      <c r="C7" s="18">
        <f ca="1">(4*F24)+(9*C31)+(4*(C10-D10))+(2*E10)</f>
        <v>40.389157991999994</v>
      </c>
      <c r="D7" s="50" t="s">
        <v>95</v>
      </c>
      <c r="E7" s="74" t="s">
        <v>97</v>
      </c>
      <c r="F7" s="74" t="s">
        <v>116</v>
      </c>
    </row>
    <row r="8" spans="1:9" s="51" customFormat="1" ht="7" customHeight="1" x14ac:dyDescent="0.35">
      <c r="C8" s="52"/>
      <c r="D8" s="53"/>
      <c r="E8" s="53"/>
    </row>
    <row r="9" spans="1:9" ht="30" customHeight="1" x14ac:dyDescent="0.35">
      <c r="A9" s="150" t="s">
        <v>49</v>
      </c>
      <c r="B9" s="18"/>
      <c r="C9" s="1" t="str">
        <f ca="1">'Nutrition STONF'!C9</f>
        <v>Total carbohydrate</v>
      </c>
      <c r="D9" s="1" t="str">
        <f ca="1">'Nutrition STONF'!D9</f>
        <v>Total dietary fiber</v>
      </c>
      <c r="E9" s="1" t="str">
        <f ca="1">'Nutrition STONF'!E9</f>
        <v>Soluble fiber</v>
      </c>
    </row>
    <row r="10" spans="1:9" x14ac:dyDescent="0.35">
      <c r="A10" s="150"/>
      <c r="B10" s="18" t="s">
        <v>50</v>
      </c>
      <c r="C10" s="21" cm="1">
        <f t="array" aca="1" ref="C10" ca="1">INDIRECT("'"&amp;D2&amp;"'!K8")</f>
        <v>11.522554799999998</v>
      </c>
      <c r="D10" s="21" cm="1">
        <f t="array" aca="1" ref="D10" ca="1">INDIRECT("'"&amp;D2&amp;"'!L8")</f>
        <v>2.7045023999999995</v>
      </c>
      <c r="E10" s="21" cm="1">
        <f t="array" aca="1" ref="E10" ca="1">INDIRECT("'"&amp;D2&amp;"'!M8")</f>
        <v>2.2748939999999997</v>
      </c>
    </row>
    <row r="11" spans="1:9" x14ac:dyDescent="0.35">
      <c r="A11" s="150"/>
      <c r="B11" s="18" t="s">
        <v>51</v>
      </c>
      <c r="C11" s="1">
        <f>'Nutrition STONF'!C11</f>
        <v>275</v>
      </c>
      <c r="D11" s="1">
        <f>'Nutrition STONF'!D11</f>
        <v>28</v>
      </c>
      <c r="E11" s="1" t="str">
        <f>'Nutrition STONF'!E11</f>
        <v>NA</v>
      </c>
    </row>
    <row r="12" spans="1:9" x14ac:dyDescent="0.35">
      <c r="A12" s="150"/>
      <c r="B12" s="18" t="s">
        <v>53</v>
      </c>
      <c r="C12" s="26">
        <f ca="1">C10/C11</f>
        <v>4.1900199272727263E-2</v>
      </c>
      <c r="D12" s="26">
        <f ca="1">D10/D11</f>
        <v>9.6589371428571408E-2</v>
      </c>
      <c r="E12" s="26" t="s">
        <v>52</v>
      </c>
    </row>
    <row r="13" spans="1:9" ht="127" customHeight="1" x14ac:dyDescent="0.35">
      <c r="A13" s="150"/>
      <c r="B13" s="18"/>
      <c r="C13" s="1" t="str">
        <f>'Nutrition STONF'!C13</f>
        <v>&lt; 0.5g - express as 0
&lt; 1g - express as "contains less than 1g" or "less than 1g"
≥1g - express to nearest 1g increment
Insignificant amount is &lt; 1g</v>
      </c>
      <c r="D13" s="1" t="str">
        <f>'Nutrition STONF'!D13</f>
        <v>&lt; 0.5g - express as 0
&lt; 1g - express as "contains less than 1g" or "less than 1g"
≥1g - express to nearest 1g increment
Insignificant amount is &lt; 1g</v>
      </c>
      <c r="E13" s="1" t="str">
        <f>'Nutrition STONF'!E13</f>
        <v>- Label value  based on calculation of psyllium being 70% soluble fiber (3.4g psyllium * 0.70 = 2.4g)
&lt; 0.5g - express as 0
&lt; 1g - express as "contains less than 1g" or "less than 1g"
≥1g - express to nearest 1g increment
Insignificant amount is &lt; 0.5g</v>
      </c>
    </row>
    <row r="14" spans="1:9" x14ac:dyDescent="0.35">
      <c r="A14" s="150"/>
      <c r="B14" s="18" t="s">
        <v>56</v>
      </c>
      <c r="C14" s="31" t="s">
        <v>178</v>
      </c>
      <c r="D14" s="31" t="s">
        <v>58</v>
      </c>
      <c r="E14" s="31" t="s">
        <v>59</v>
      </c>
    </row>
    <row r="16" spans="1:9" x14ac:dyDescent="0.35">
      <c r="A16" s="150" t="s">
        <v>49</v>
      </c>
      <c r="B16" s="18"/>
      <c r="C16" s="1" t="str">
        <f>'Nutrition STONF'!C16</f>
        <v>Iron [Mandatory]</v>
      </c>
      <c r="D16" s="1" t="str">
        <f>'Nutrition STONF'!D16</f>
        <v>Potassium [Mandatory]</v>
      </c>
      <c r="E16" s="1" t="str">
        <f>'Nutrition STONF'!E16</f>
        <v>Calcium [Mandatory]</v>
      </c>
    </row>
    <row r="17" spans="1:6" x14ac:dyDescent="0.35">
      <c r="A17" s="150"/>
      <c r="B17" s="18" t="s">
        <v>50</v>
      </c>
      <c r="C17" s="22" cm="1">
        <f t="array" aca="1" ref="C17" ca="1">INDIRECT("'"&amp;D2&amp;"'!P8")</f>
        <v>0.25577819999999996</v>
      </c>
      <c r="D17" s="22" cm="1">
        <f t="array" aca="1" ref="D17" ca="1">INDIRECT("'"&amp;D2&amp;"'!Q8")</f>
        <v>27.513383999999999</v>
      </c>
      <c r="E17" s="22" cm="1">
        <f t="array" aca="1" ref="E17" ca="1">INDIRECT("'"&amp;D2&amp;"'!S8")</f>
        <v>5.7393255599999993</v>
      </c>
    </row>
    <row r="18" spans="1:6" x14ac:dyDescent="0.35">
      <c r="A18" s="150"/>
      <c r="B18" s="18" t="s">
        <v>51</v>
      </c>
      <c r="C18" s="1">
        <f>'Nutrition STONF'!C18</f>
        <v>18</v>
      </c>
      <c r="D18" s="1">
        <f>'Nutrition STONF'!D18</f>
        <v>4700</v>
      </c>
      <c r="E18" s="1">
        <f>'Nutrition STONF'!E18</f>
        <v>1300</v>
      </c>
    </row>
    <row r="19" spans="1:6" x14ac:dyDescent="0.35">
      <c r="A19" s="150"/>
      <c r="B19" s="18" t="s">
        <v>53</v>
      </c>
      <c r="C19" s="26">
        <f ca="1">C17/C18</f>
        <v>1.4209899999999998E-2</v>
      </c>
      <c r="D19" s="26">
        <f t="shared" ref="D19:E19" ca="1" si="0">D17/D18</f>
        <v>5.853911489361702E-3</v>
      </c>
      <c r="E19" s="26">
        <f t="shared" ca="1" si="0"/>
        <v>4.4148658153846145E-3</v>
      </c>
    </row>
    <row r="20" spans="1:6" ht="39" x14ac:dyDescent="0.35">
      <c r="A20" s="150"/>
      <c r="B20" s="18"/>
      <c r="C20" s="1" t="str">
        <f>'Nutrition STONF'!C20</f>
        <v>&lt;2% DV: shall not be declared 
&gt; 2% DV: round to nearest 0.1 mg and round to nearest % DV</v>
      </c>
      <c r="D20" s="1" t="str">
        <f>'Nutrition STONF'!D20</f>
        <v>&lt;2% DV: shall not be declared 
&gt; 2% DV: round to nearest 10 mg and round to nearest % DV</v>
      </c>
      <c r="E20" s="1" t="str">
        <f>'Nutrition STONF'!E20</f>
        <v>&lt;2% DV: shall not be declared 
&gt; 2% DV: round to nearest 10 mg and round to nearest % DV</v>
      </c>
    </row>
    <row r="21" spans="1:6" ht="29" x14ac:dyDescent="0.35">
      <c r="A21" s="150"/>
      <c r="B21" s="18" t="s">
        <v>56</v>
      </c>
      <c r="C21" s="31" t="s">
        <v>140</v>
      </c>
      <c r="D21" s="31" t="s">
        <v>60</v>
      </c>
      <c r="E21" s="31" t="s">
        <v>179</v>
      </c>
    </row>
    <row r="23" spans="1:6" x14ac:dyDescent="0.35">
      <c r="A23" s="150" t="s">
        <v>49</v>
      </c>
      <c r="B23" s="18"/>
      <c r="C23" s="1" t="str">
        <f>'Nutrition STONF'!C23</f>
        <v>Vitamin A [Voluntary]</v>
      </c>
      <c r="D23" s="1" t="str">
        <f>'Nutrition STONF'!D23</f>
        <v>Vitamin C [Voluntary]</v>
      </c>
      <c r="E23" s="1" t="str">
        <f>'Nutrition STONF'!E23</f>
        <v>Vitamin D [Mandatory]</v>
      </c>
      <c r="F23" s="1" t="str">
        <f>'Nutrition STONF'!F23</f>
        <v>Protein</v>
      </c>
    </row>
    <row r="24" spans="1:6" x14ac:dyDescent="0.35">
      <c r="A24" s="150"/>
      <c r="B24" s="18" t="s">
        <v>50</v>
      </c>
      <c r="C24" s="23" cm="1">
        <f t="array" aca="1" ref="C24" ca="1">INDIRECT("'"&amp;D2&amp;"'!T8")</f>
        <v>0</v>
      </c>
      <c r="D24" s="24" cm="1">
        <f t="array" aca="1" ref="D24" ca="1">INDIRECT("'"&amp;D2&amp;"'!U8")</f>
        <v>0</v>
      </c>
      <c r="E24" s="24" cm="1">
        <f t="array" aca="1" ref="E24" ca="1">INDIRECT("'"&amp;D2&amp;"'!V8")</f>
        <v>0</v>
      </c>
      <c r="F24" s="21" cm="1">
        <f t="array" aca="1" ref="F24" ca="1">INDIRECT("'"&amp;D2&amp;"'!W8")</f>
        <v>6.8461068E-2</v>
      </c>
    </row>
    <row r="25" spans="1:6" x14ac:dyDescent="0.35">
      <c r="A25" s="150"/>
      <c r="B25" s="18" t="s">
        <v>51</v>
      </c>
      <c r="C25" s="1" t="str">
        <f>'Nutrition STONF'!C25</f>
        <v>900 mcg RAE</v>
      </c>
      <c r="D25" s="1">
        <f>'Nutrition STONF'!D25</f>
        <v>90</v>
      </c>
      <c r="E25" s="1" t="str">
        <f>'Nutrition STONF'!E25</f>
        <v>20 microgram</v>
      </c>
      <c r="F25" s="1" t="str">
        <f>'Nutrition STONF'!F25</f>
        <v>NA</v>
      </c>
    </row>
    <row r="26" spans="1:6" x14ac:dyDescent="0.35">
      <c r="A26" s="150"/>
      <c r="B26" s="18" t="s">
        <v>53</v>
      </c>
      <c r="C26" s="26" t="s">
        <v>52</v>
      </c>
      <c r="D26" s="26" t="s">
        <v>52</v>
      </c>
      <c r="E26" s="26">
        <f ca="1">E24/20</f>
        <v>0</v>
      </c>
      <c r="F26" s="26" t="s">
        <v>52</v>
      </c>
    </row>
    <row r="27" spans="1:6" ht="78" x14ac:dyDescent="0.35">
      <c r="A27" s="150"/>
      <c r="B27" s="18"/>
      <c r="C27" s="1" t="str">
        <f>'Nutrition STONF'!C27</f>
        <v>&lt;2% DV: shall not be declared 
&gt; 2% DV: round to nearest 10 mcg RAE and round to nearest % DV</v>
      </c>
      <c r="D27" s="1" t="str">
        <f>'Nutrition STONF'!D27</f>
        <v>&lt;2% DV: shall not be declared 
&gt; 2% DV: round to nearest 1 mg and round to nearest % DV</v>
      </c>
      <c r="E27" s="1" t="str">
        <f>'Nutrition STONF'!E27</f>
        <v>&lt;2% DV: shall not be declared 
&gt; 2% DV: round to nearest 0.1 mcg and round to nearest % DV</v>
      </c>
      <c r="F27" s="1" t="str">
        <f>'Nutrition STONF'!F27</f>
        <v>&lt; 0.5g - express as 0
&lt; 1g - express as "contains less than 1g" or "less than 1g"
≥1g - express to nearest 1g increment
Insignificant amount is &lt; 0.5g</v>
      </c>
    </row>
    <row r="28" spans="1:6" x14ac:dyDescent="0.35">
      <c r="A28" s="150"/>
      <c r="B28" s="18" t="s">
        <v>56</v>
      </c>
      <c r="C28" s="31" t="s">
        <v>62</v>
      </c>
      <c r="D28" s="31" t="s">
        <v>62</v>
      </c>
      <c r="E28" s="31">
        <v>0</v>
      </c>
      <c r="F28" s="31" t="s">
        <v>63</v>
      </c>
    </row>
    <row r="30" spans="1:6" x14ac:dyDescent="0.35">
      <c r="A30" s="149" t="s">
        <v>64</v>
      </c>
      <c r="B30" s="18"/>
      <c r="C30" s="1" t="str">
        <f>'Nutrition STONF'!C30</f>
        <v>Total Fat</v>
      </c>
      <c r="D30" s="1" t="str">
        <f>'Nutrition STONF'!D30</f>
        <v>Saturated Fat</v>
      </c>
      <c r="E30" s="1" t="str">
        <f>'Nutrition STONF'!E30</f>
        <v>Trans Fat</v>
      </c>
      <c r="F30" s="1" t="str">
        <f>'Nutrition STONF'!F30</f>
        <v>Cholesterol</v>
      </c>
    </row>
    <row r="31" spans="1:6" x14ac:dyDescent="0.35">
      <c r="A31" s="149"/>
      <c r="B31" s="18" t="s">
        <v>50</v>
      </c>
      <c r="C31" s="21" cm="1">
        <f t="array" aca="1" ref="C31" ca="1">INDIRECT("'"&amp;D2&amp;"'!G8")</f>
        <v>3.2590680000000004E-2</v>
      </c>
      <c r="D31" s="21" cm="1">
        <f t="array" aca="1" ref="D31" ca="1">INDIRECT("'"&amp;D2&amp;"'!H8")</f>
        <v>5.3564880000000004E-3</v>
      </c>
      <c r="E31" s="21" cm="1">
        <f t="array" aca="1" ref="E31" ca="1">INDIRECT("'"&amp;D2&amp;"'!I8")</f>
        <v>0</v>
      </c>
      <c r="F31" s="21" cm="1">
        <f t="array" aca="1" ref="F31" ca="1">INDIRECT("'"&amp;D2&amp;"'!J8")</f>
        <v>0</v>
      </c>
    </row>
    <row r="32" spans="1:6" x14ac:dyDescent="0.35">
      <c r="A32" s="149"/>
      <c r="B32" s="18" t="s">
        <v>51</v>
      </c>
      <c r="C32" s="1">
        <f>'Nutrition STONF'!C32</f>
        <v>78</v>
      </c>
      <c r="D32" s="1">
        <f>'Nutrition STONF'!D32</f>
        <v>20</v>
      </c>
      <c r="E32" s="1" t="str">
        <f>'Nutrition STONF'!E32</f>
        <v>NA</v>
      </c>
      <c r="F32" s="1" t="str">
        <f>'Nutrition STONF'!F32</f>
        <v>300 mg</v>
      </c>
    </row>
    <row r="33" spans="1:11" x14ac:dyDescent="0.35">
      <c r="A33" s="149"/>
      <c r="B33" s="18" t="s">
        <v>53</v>
      </c>
      <c r="C33" s="26" t="s">
        <v>52</v>
      </c>
      <c r="D33" s="26" t="s">
        <v>52</v>
      </c>
      <c r="E33" s="26" t="s">
        <v>52</v>
      </c>
      <c r="F33" s="26" t="s">
        <v>52</v>
      </c>
    </row>
    <row r="34" spans="1:11" ht="73.400000000000006" customHeight="1" x14ac:dyDescent="0.35">
      <c r="A34" s="149"/>
      <c r="B34" s="18"/>
      <c r="C34" s="1" t="str">
        <f>'Nutrition STONF'!C34</f>
        <v xml:space="preserve">&lt; 0.5g - express as 0
&lt; 5 g - nearest 0.5 g increment
&gt; 5 g: nearest 1 g increment
</v>
      </c>
      <c r="D34" s="1" t="str">
        <f>'Nutrition STONF'!D34</f>
        <v xml:space="preserve">&lt; 0.5g - express as 0
&lt; 5 g - nearest 0.5 g increment
&gt; 5 g: nearest 1 g increment
</v>
      </c>
      <c r="E34" s="1" t="str">
        <f>'Nutrition STONF'!E34</f>
        <v xml:space="preserve">&lt; 0.5g - express as 0
&lt; 5 g - nearest 0.5 g increment
&gt; 5 g: nearest 1 g increment
</v>
      </c>
      <c r="F34" s="1" t="str">
        <f>'Nutrition STONF'!F34</f>
        <v>&lt; 2mg: express as 0
2-5 mg: "less than 5 mg"
&gt; 5 mg: 5 mg increment</v>
      </c>
    </row>
    <row r="35" spans="1:11" x14ac:dyDescent="0.35">
      <c r="A35" s="149"/>
      <c r="B35" s="18" t="s">
        <v>56</v>
      </c>
      <c r="C35" s="31"/>
      <c r="D35" s="31"/>
      <c r="E35" s="31"/>
      <c r="F35" s="31"/>
    </row>
    <row r="37" spans="1:11" ht="30" customHeight="1" x14ac:dyDescent="0.35">
      <c r="A37" s="149" t="s">
        <v>64</v>
      </c>
      <c r="B37" s="18"/>
      <c r="C37" s="1" t="str">
        <f ca="1">'Nutrition STONF'!C37</f>
        <v>Calories (US Rules)</v>
      </c>
      <c r="D37" s="1" t="str">
        <f>'Nutrition STONF'!D37</f>
        <v>Calories from Fat</v>
      </c>
      <c r="E37" s="1" t="str">
        <f ca="1">'Nutrition STONF'!E37</f>
        <v xml:space="preserve">Sugar </v>
      </c>
      <c r="F37" s="1" t="str">
        <f ca="1">'Nutrition STONF'!F37</f>
        <v>Added Sugars</v>
      </c>
      <c r="G37" s="1" t="str">
        <f ca="1">'Nutrition STONF'!G37</f>
        <v>Sodium</v>
      </c>
    </row>
    <row r="38" spans="1:11" x14ac:dyDescent="0.35">
      <c r="A38" s="149"/>
      <c r="B38" s="18" t="s">
        <v>50</v>
      </c>
      <c r="C38" s="20">
        <f ca="1">C7</f>
        <v>40.389157991999994</v>
      </c>
      <c r="D38" s="20" cm="1">
        <f t="array" aca="1" ref="D38" ca="1">INDIRECT("'"&amp;D2&amp;"'!F8")</f>
        <v>0.13946229600000001</v>
      </c>
      <c r="E38" s="21" cm="1">
        <f t="array" aca="1" ref="E38" ca="1">INDIRECT("'"&amp;D2&amp;"'!N8")</f>
        <v>8.168913599999998</v>
      </c>
      <c r="F38" s="21" cm="1">
        <f t="array" aca="1" ref="F38" ca="1">INDIRECT("'"&amp;D2&amp;"'!O8")</f>
        <v>8.1592487999999985</v>
      </c>
      <c r="G38" s="22" cm="1">
        <f t="array" aca="1" ref="G38" ca="1">INDIRECT("'"&amp;D2&amp;"'!R8")</f>
        <v>2.7244457999999998</v>
      </c>
    </row>
    <row r="39" spans="1:11" x14ac:dyDescent="0.35">
      <c r="A39" s="149"/>
      <c r="B39" s="18" t="s">
        <v>51</v>
      </c>
      <c r="C39" s="1" t="str">
        <f>'Nutrition STONF'!C39</f>
        <v>NA</v>
      </c>
      <c r="D39" s="1" t="str">
        <f>'Nutrition STONF'!D39</f>
        <v>NA</v>
      </c>
      <c r="E39" s="1" t="str">
        <f>'Nutrition STONF'!E39</f>
        <v>NA</v>
      </c>
      <c r="F39" s="1">
        <f>'Nutrition STONF'!F39</f>
        <v>50</v>
      </c>
      <c r="G39" s="1">
        <f>'Nutrition STONF'!G39</f>
        <v>2300</v>
      </c>
    </row>
    <row r="40" spans="1:11" x14ac:dyDescent="0.35">
      <c r="A40" s="149"/>
      <c r="B40" s="18" t="s">
        <v>53</v>
      </c>
      <c r="C40" s="25" t="s">
        <v>52</v>
      </c>
      <c r="D40" s="25" t="s">
        <v>52</v>
      </c>
      <c r="E40" s="26" t="s">
        <v>52</v>
      </c>
      <c r="F40" s="26">
        <f t="shared" ref="F40:G40" ca="1" si="1">F38/F39</f>
        <v>0.16318497599999998</v>
      </c>
      <c r="G40" s="26">
        <f t="shared" ca="1" si="1"/>
        <v>1.1845416521739129E-3</v>
      </c>
    </row>
    <row r="41" spans="1:11" ht="193.4" customHeight="1" x14ac:dyDescent="0.35">
      <c r="A41" s="149"/>
      <c r="B41" s="18"/>
      <c r="C41" s="1" t="str">
        <f>'Nutrition STONF'!C41</f>
        <v>&lt; 5 cal - express as 0
≤ 50 cal - express to nearest 5 cal increment
&gt; 50 cal - express to nearest 10 cal increment
Insignificant amount is &lt; 5 cal</v>
      </c>
      <c r="D41" s="1" t="str">
        <f>'Nutrition STONF'!D41</f>
        <v>Not required to be declared</v>
      </c>
      <c r="E41" s="1" t="str">
        <f>'Nutrition STONF'!E41</f>
        <v>&lt; 0.5g - express as 0
&lt; 1g - express as "contains less than 1g" or "less than 1g"
≥1g - express to nearest 1g increment
Insignificant amount is &lt; 0.5g</v>
      </c>
      <c r="F41" s="1" t="str">
        <f>'Nutrition STONF'!F41</f>
        <v>&lt; 0.5g - express as 0
&lt; 1g - express as "contains less than 1g" or "less than 1g"
≥1g - express to nearest 1g increment
Insignificant amount is &lt; 0.5g</v>
      </c>
      <c r="G41" s="1" t="str">
        <f>'Nutrition STONF'!G41</f>
        <v>&lt; 5mg - express as 0
5-140mg - express to nearest 5mg increment
&gt; 140mg - express to nearest 10mg increment
Insignificant amount is &lt; 5mg</v>
      </c>
      <c r="K41" s="32"/>
    </row>
    <row r="42" spans="1:11" x14ac:dyDescent="0.35">
      <c r="A42" s="149"/>
      <c r="B42" s="18" t="s">
        <v>56</v>
      </c>
      <c r="C42" s="31" t="s">
        <v>180</v>
      </c>
      <c r="D42" s="31">
        <v>0</v>
      </c>
      <c r="E42" s="30" t="s">
        <v>183</v>
      </c>
      <c r="F42" s="31" t="s">
        <v>183</v>
      </c>
      <c r="G42" s="31" t="s">
        <v>181</v>
      </c>
      <c r="K42" s="33"/>
    </row>
    <row r="43" spans="1:11" x14ac:dyDescent="0.35">
      <c r="A43" s="29"/>
      <c r="D43" s="28"/>
      <c r="K43" s="34"/>
    </row>
    <row r="44" spans="1:11" x14ac:dyDescent="0.35">
      <c r="D44" s="28"/>
      <c r="K44" s="34"/>
    </row>
    <row r="45" spans="1:11" x14ac:dyDescent="0.35">
      <c r="D45" s="28"/>
    </row>
    <row r="46" spans="1:11" x14ac:dyDescent="0.35">
      <c r="D46" s="28"/>
    </row>
    <row r="50" spans="1:6" x14ac:dyDescent="0.35">
      <c r="A50" s="43" t="s">
        <v>173</v>
      </c>
      <c r="B50" s="43"/>
      <c r="C50" s="113"/>
    </row>
    <row r="51" spans="1:6" x14ac:dyDescent="0.35">
      <c r="A51" s="42" t="s">
        <v>162</v>
      </c>
      <c r="B51" s="42">
        <v>14595972</v>
      </c>
    </row>
    <row r="52" spans="1:6" x14ac:dyDescent="0.35">
      <c r="B52" t="s">
        <v>163</v>
      </c>
      <c r="D52" t="s">
        <v>177</v>
      </c>
      <c r="F52" s="114" t="s">
        <v>182</v>
      </c>
    </row>
    <row r="53" spans="1:6" x14ac:dyDescent="0.35">
      <c r="A53" s="9" t="s">
        <v>43</v>
      </c>
      <c r="B53">
        <v>332</v>
      </c>
      <c r="D53">
        <f>(12/100)*B53</f>
        <v>39.839999999999996</v>
      </c>
      <c r="F53" s="114" t="str">
        <f>C42</f>
        <v>40kCal</v>
      </c>
    </row>
    <row r="54" spans="1:6" x14ac:dyDescent="0.35">
      <c r="A54" s="9" t="s">
        <v>5</v>
      </c>
      <c r="B54" t="s">
        <v>175</v>
      </c>
      <c r="D54">
        <f>(12/100)*0.9</f>
        <v>0.108</v>
      </c>
      <c r="F54" s="114">
        <f>D42</f>
        <v>0</v>
      </c>
    </row>
    <row r="55" spans="1:6" x14ac:dyDescent="0.35">
      <c r="A55" s="71" t="s">
        <v>6</v>
      </c>
      <c r="B55">
        <v>0.104</v>
      </c>
      <c r="D55">
        <f t="shared" ref="D55:D71" si="2">(12/100)*B55</f>
        <v>1.248E-2</v>
      </c>
      <c r="F55" s="114">
        <f>C35</f>
        <v>0</v>
      </c>
    </row>
    <row r="56" spans="1:6" x14ac:dyDescent="0.35">
      <c r="A56" s="71" t="s">
        <v>7</v>
      </c>
      <c r="B56">
        <v>2.7E-2</v>
      </c>
      <c r="D56">
        <f t="shared" si="2"/>
        <v>3.2399999999999998E-3</v>
      </c>
      <c r="F56" s="114">
        <f>D35</f>
        <v>0</v>
      </c>
    </row>
    <row r="57" spans="1:6" x14ac:dyDescent="0.35">
      <c r="A57" s="71" t="s">
        <v>8</v>
      </c>
      <c r="B57" t="s">
        <v>176</v>
      </c>
      <c r="D57">
        <f>(12/100)*0.007</f>
        <v>8.4000000000000003E-4</v>
      </c>
      <c r="F57" s="114">
        <f>E35</f>
        <v>0</v>
      </c>
    </row>
    <row r="58" spans="1:6" x14ac:dyDescent="0.35">
      <c r="A58" s="71" t="s">
        <v>9</v>
      </c>
      <c r="C58" t="s">
        <v>165</v>
      </c>
      <c r="D58">
        <f t="shared" si="2"/>
        <v>0</v>
      </c>
      <c r="E58" t="s">
        <v>132</v>
      </c>
      <c r="F58" s="114">
        <f>F35</f>
        <v>0</v>
      </c>
    </row>
    <row r="59" spans="1:6" x14ac:dyDescent="0.35">
      <c r="A59" s="71" t="s">
        <v>10</v>
      </c>
      <c r="B59">
        <v>96.6</v>
      </c>
      <c r="D59">
        <f t="shared" si="2"/>
        <v>11.591999999999999</v>
      </c>
      <c r="F59" s="114" t="str">
        <f>C14</f>
        <v>12g</v>
      </c>
    </row>
    <row r="60" spans="1:6" x14ac:dyDescent="0.35">
      <c r="A60" s="71" t="s">
        <v>11</v>
      </c>
      <c r="B60">
        <v>23.3</v>
      </c>
      <c r="D60">
        <f t="shared" si="2"/>
        <v>2.7959999999999998</v>
      </c>
      <c r="F60" s="114" t="str">
        <f>D14</f>
        <v>3g</v>
      </c>
    </row>
    <row r="61" spans="1:6" x14ac:dyDescent="0.35">
      <c r="A61" s="71" t="s">
        <v>12</v>
      </c>
      <c r="B61">
        <v>17.399999999999999</v>
      </c>
      <c r="D61">
        <f t="shared" si="2"/>
        <v>2.0879999999999996</v>
      </c>
      <c r="F61" s="114" t="str">
        <f>E14</f>
        <v>2g</v>
      </c>
    </row>
    <row r="62" spans="1:6" x14ac:dyDescent="0.35">
      <c r="A62" s="71" t="s">
        <v>13</v>
      </c>
      <c r="B62">
        <v>65.5</v>
      </c>
      <c r="D62">
        <f t="shared" si="2"/>
        <v>7.8599999999999994</v>
      </c>
      <c r="F62" s="115" t="str">
        <f>E42</f>
        <v>8g</v>
      </c>
    </row>
    <row r="63" spans="1:6" x14ac:dyDescent="0.35">
      <c r="A63" s="71" t="s">
        <v>14</v>
      </c>
      <c r="D63">
        <f t="shared" si="2"/>
        <v>0</v>
      </c>
      <c r="F63" s="114" t="str">
        <f>F42</f>
        <v>8g</v>
      </c>
    </row>
    <row r="64" spans="1:6" x14ac:dyDescent="0.35">
      <c r="A64" s="71" t="s">
        <v>15</v>
      </c>
      <c r="B64">
        <v>33.9</v>
      </c>
      <c r="C64" t="s">
        <v>166</v>
      </c>
      <c r="D64">
        <f t="shared" si="2"/>
        <v>4.0679999999999996</v>
      </c>
      <c r="E64" t="s">
        <v>132</v>
      </c>
      <c r="F64" s="114" t="str">
        <f>C21</f>
        <v>2% DV</v>
      </c>
    </row>
    <row r="65" spans="1:6" x14ac:dyDescent="0.35">
      <c r="A65" s="71" t="s">
        <v>16</v>
      </c>
      <c r="B65" s="113"/>
      <c r="C65" t="s">
        <v>185</v>
      </c>
      <c r="D65">
        <f t="shared" si="2"/>
        <v>0</v>
      </c>
      <c r="E65" t="s">
        <v>132</v>
      </c>
      <c r="F65" s="114" t="str">
        <f>D21</f>
        <v>30 mg</v>
      </c>
    </row>
    <row r="66" spans="1:6" x14ac:dyDescent="0.35">
      <c r="A66" s="71" t="s">
        <v>17</v>
      </c>
      <c r="B66" s="113"/>
      <c r="C66" t="s">
        <v>185</v>
      </c>
      <c r="D66">
        <f t="shared" si="2"/>
        <v>0</v>
      </c>
      <c r="E66" t="s">
        <v>132</v>
      </c>
      <c r="F66" s="114" t="str">
        <f>G42</f>
        <v>0mg</v>
      </c>
    </row>
    <row r="67" spans="1:6" ht="43.5" x14ac:dyDescent="0.35">
      <c r="A67" s="71" t="s">
        <v>18</v>
      </c>
      <c r="B67">
        <v>587</v>
      </c>
      <c r="C67" t="s">
        <v>166</v>
      </c>
      <c r="D67">
        <f t="shared" si="2"/>
        <v>70.44</v>
      </c>
      <c r="E67" t="s">
        <v>132</v>
      </c>
      <c r="F67" s="116" t="str">
        <f>E21</f>
        <v>0 or "Contains less than 2% of the Daily value of this nutrient"</v>
      </c>
    </row>
    <row r="68" spans="1:6" x14ac:dyDescent="0.35">
      <c r="A68" s="71" t="s">
        <v>19</v>
      </c>
      <c r="B68" s="113"/>
      <c r="C68" t="s">
        <v>185</v>
      </c>
      <c r="D68">
        <f t="shared" si="2"/>
        <v>0</v>
      </c>
      <c r="F68" s="114" t="str">
        <f>C28</f>
        <v>none</v>
      </c>
    </row>
    <row r="69" spans="1:6" x14ac:dyDescent="0.35">
      <c r="A69" s="71" t="s">
        <v>20</v>
      </c>
      <c r="B69" s="113"/>
      <c r="C69" t="s">
        <v>185</v>
      </c>
      <c r="D69">
        <f t="shared" si="2"/>
        <v>0</v>
      </c>
      <c r="F69" s="114" t="str">
        <f>D28</f>
        <v>none</v>
      </c>
    </row>
    <row r="70" spans="1:6" x14ac:dyDescent="0.35">
      <c r="A70" s="71" t="s">
        <v>21</v>
      </c>
      <c r="B70" s="113"/>
      <c r="C70" t="s">
        <v>185</v>
      </c>
      <c r="D70">
        <f t="shared" si="2"/>
        <v>0</v>
      </c>
      <c r="F70" s="114">
        <f>E28</f>
        <v>0</v>
      </c>
    </row>
    <row r="71" spans="1:6" x14ac:dyDescent="0.35">
      <c r="A71" s="71" t="s">
        <v>22</v>
      </c>
      <c r="B71">
        <v>0.87</v>
      </c>
      <c r="D71">
        <f t="shared" si="2"/>
        <v>0.10439999999999999</v>
      </c>
      <c r="F71" s="114" t="str">
        <f>F28</f>
        <v>0g</v>
      </c>
    </row>
    <row r="72" spans="1:6" x14ac:dyDescent="0.35">
      <c r="F72" s="114"/>
    </row>
  </sheetData>
  <mergeCells count="6">
    <mergeCell ref="A37:A42"/>
    <mergeCell ref="A5:A7"/>
    <mergeCell ref="A9:A14"/>
    <mergeCell ref="A16:A21"/>
    <mergeCell ref="A23:A28"/>
    <mergeCell ref="A30:A35"/>
  </mergeCells>
  <pageMargins left="0.7" right="0.7" top="0.75" bottom="0.75" header="0.3" footer="0.3"/>
  <pageSetup orientation="portrait" r:id="rId1"/>
  <headerFooter>
    <oddHeader>&amp;R&amp;"Calibri"&amp;10&amp;K000000Highly Restricted&amp;1#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C32D-D0BA-4D2E-B598-F6676E9A5830}">
  <dimension ref="A1:W34"/>
  <sheetViews>
    <sheetView zoomScaleNormal="100" workbookViewId="0">
      <selection activeCell="C7" sqref="C7"/>
    </sheetView>
  </sheetViews>
  <sheetFormatPr defaultRowHeight="14.5" x14ac:dyDescent="0.35"/>
  <cols>
    <col min="1" max="1" width="3" bestFit="1" customWidth="1"/>
    <col min="2" max="2" width="20.1796875" bestFit="1" customWidth="1"/>
    <col min="3" max="3" width="13.1796875" bestFit="1" customWidth="1"/>
    <col min="4" max="4" width="16.453125" bestFit="1" customWidth="1"/>
    <col min="5" max="6" width="12.6328125" customWidth="1"/>
    <col min="7" max="23" width="12.6328125" style="66" customWidth="1"/>
  </cols>
  <sheetData>
    <row r="1" spans="1:23" s="44" customFormat="1" x14ac:dyDescent="0.35">
      <c r="B1" s="45" t="s">
        <v>88</v>
      </c>
      <c r="C1" s="46">
        <v>46078</v>
      </c>
      <c r="D1" s="47" t="s">
        <v>89</v>
      </c>
      <c r="E1" s="45" t="s">
        <v>90</v>
      </c>
      <c r="F1" s="47" t="s">
        <v>91</v>
      </c>
      <c r="G1" s="64" t="s">
        <v>92</v>
      </c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</row>
    <row r="2" spans="1:23" x14ac:dyDescent="0.35">
      <c r="B2" t="s">
        <v>35</v>
      </c>
    </row>
    <row r="3" spans="1:23" x14ac:dyDescent="0.35">
      <c r="B3" s="13" t="s">
        <v>36</v>
      </c>
    </row>
    <row r="4" spans="1:23" x14ac:dyDescent="0.35">
      <c r="B4" t="s">
        <v>37</v>
      </c>
      <c r="D4" s="37"/>
    </row>
    <row r="5" spans="1:23" x14ac:dyDescent="0.35">
      <c r="B5" t="s">
        <v>38</v>
      </c>
      <c r="C5" t="s">
        <v>3</v>
      </c>
      <c r="D5" s="13" t="s">
        <v>138</v>
      </c>
      <c r="E5" s="37" t="s">
        <v>139</v>
      </c>
    </row>
    <row r="6" spans="1:23" ht="15" thickBot="1" x14ac:dyDescent="0.4">
      <c r="B6" s="13" t="s">
        <v>93</v>
      </c>
      <c r="C6" s="13">
        <v>24.04</v>
      </c>
      <c r="D6">
        <f>C6*2</f>
        <v>48.08</v>
      </c>
    </row>
    <row r="7" spans="1:23" ht="15" thickBot="1" x14ac:dyDescent="0.4">
      <c r="B7" s="62" t="s">
        <v>114</v>
      </c>
      <c r="C7" s="63">
        <f>C6</f>
        <v>24.04</v>
      </c>
      <c r="E7" t="s">
        <v>113</v>
      </c>
    </row>
    <row r="8" spans="1:23" ht="27" customHeight="1" x14ac:dyDescent="0.35">
      <c r="B8" s="10" t="s">
        <v>39</v>
      </c>
      <c r="C8" s="11">
        <f>SUM(C14:C34)</f>
        <v>1.0000000000000002</v>
      </c>
      <c r="D8" s="16">
        <f>SUM(D14:D21)</f>
        <v>24.040000000000006</v>
      </c>
      <c r="E8" s="76">
        <f>SUM(E14:E34)</f>
        <v>90.104352848000005</v>
      </c>
      <c r="F8" s="76">
        <f>SUM(F14:F34)</f>
        <v>0.35763365632000005</v>
      </c>
      <c r="G8" s="67">
        <f t="shared" ref="G8:W8" si="0">SUM(G14:G34)</f>
        <v>7.3920115199999997E-2</v>
      </c>
      <c r="H8" s="67">
        <f t="shared" si="0"/>
        <v>1.2262659760000001E-2</v>
      </c>
      <c r="I8" s="67">
        <f t="shared" si="0"/>
        <v>0</v>
      </c>
      <c r="J8" s="68">
        <f>SUM(J14:J34)</f>
        <v>0</v>
      </c>
      <c r="K8" s="67">
        <f t="shared" si="0"/>
        <v>23.079778453600003</v>
      </c>
      <c r="L8" s="67">
        <f t="shared" si="0"/>
        <v>5.4079422399999997</v>
      </c>
      <c r="M8" s="67">
        <f t="shared" si="0"/>
        <v>4.54889688</v>
      </c>
      <c r="N8" s="67">
        <f t="shared" si="0"/>
        <v>16.349343166000001</v>
      </c>
      <c r="O8" s="67">
        <f>SUM(O14:O34)</f>
        <v>16.330063086000003</v>
      </c>
      <c r="P8" s="73">
        <f t="shared" si="0"/>
        <v>0.51146878959999997</v>
      </c>
      <c r="Q8" s="73">
        <f t="shared" si="0"/>
        <v>55.021173774000005</v>
      </c>
      <c r="R8" s="73">
        <f t="shared" si="0"/>
        <v>5.1411641095999991</v>
      </c>
      <c r="S8" s="73">
        <f t="shared" si="0"/>
        <v>11.4775210528</v>
      </c>
      <c r="T8" s="69">
        <f t="shared" si="0"/>
        <v>0.75975246719999989</v>
      </c>
      <c r="U8" s="68">
        <f t="shared" si="0"/>
        <v>2.5338159999999994E-4</v>
      </c>
      <c r="V8" s="70">
        <f t="shared" si="0"/>
        <v>0</v>
      </c>
      <c r="W8" s="67">
        <f t="shared" si="0"/>
        <v>0.13689058736000001</v>
      </c>
    </row>
    <row r="9" spans="1:23" x14ac:dyDescent="0.35">
      <c r="E9" s="148" t="s">
        <v>40</v>
      </c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</row>
    <row r="10" spans="1:23" x14ac:dyDescent="0.35">
      <c r="B10" t="s">
        <v>112</v>
      </c>
      <c r="C10" s="37">
        <v>2</v>
      </c>
      <c r="D10" s="61">
        <f>C6*2</f>
        <v>48.08</v>
      </c>
      <c r="E10" s="76">
        <f>E8*$C$10</f>
        <v>180.20870569600001</v>
      </c>
      <c r="F10" s="76">
        <f t="shared" ref="F10:W10" si="1">F8*$C$10</f>
        <v>0.7152673126400001</v>
      </c>
      <c r="G10" s="67">
        <f t="shared" si="1"/>
        <v>0.14784023039999999</v>
      </c>
      <c r="H10" s="67">
        <f t="shared" si="1"/>
        <v>2.4525319520000002E-2</v>
      </c>
      <c r="I10" s="67">
        <f t="shared" si="1"/>
        <v>0</v>
      </c>
      <c r="J10" s="68">
        <f t="shared" si="1"/>
        <v>0</v>
      </c>
      <c r="K10" s="67">
        <f t="shared" si="1"/>
        <v>46.159556907200006</v>
      </c>
      <c r="L10" s="67">
        <f t="shared" si="1"/>
        <v>10.815884479999999</v>
      </c>
      <c r="M10" s="67">
        <f t="shared" si="1"/>
        <v>9.0977937600000001</v>
      </c>
      <c r="N10" s="67">
        <f t="shared" si="1"/>
        <v>32.698686332000001</v>
      </c>
      <c r="O10" s="67">
        <f t="shared" si="1"/>
        <v>32.660126172000005</v>
      </c>
      <c r="P10" s="73">
        <f t="shared" si="1"/>
        <v>1.0229375791999999</v>
      </c>
      <c r="Q10" s="73">
        <f t="shared" si="1"/>
        <v>110.04234754800001</v>
      </c>
      <c r="R10" s="73">
        <f t="shared" si="1"/>
        <v>10.282328219199998</v>
      </c>
      <c r="S10" s="73">
        <f t="shared" si="1"/>
        <v>22.9550421056</v>
      </c>
      <c r="T10" s="69">
        <f t="shared" si="1"/>
        <v>1.5195049343999998</v>
      </c>
      <c r="U10" s="68">
        <f t="shared" si="1"/>
        <v>5.0676319999999988E-4</v>
      </c>
      <c r="V10" s="70">
        <f t="shared" si="1"/>
        <v>0</v>
      </c>
      <c r="W10" s="67">
        <f t="shared" si="1"/>
        <v>0.27378117472000002</v>
      </c>
    </row>
    <row r="11" spans="1:23" x14ac:dyDescent="0.35">
      <c r="D11" s="38"/>
    </row>
    <row r="12" spans="1:23" x14ac:dyDescent="0.35">
      <c r="C12" s="100">
        <f>SUM(C14:C34)</f>
        <v>1.0000000000000002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</row>
    <row r="13" spans="1:23" s="9" customFormat="1" ht="29" x14ac:dyDescent="0.35">
      <c r="B13" s="9" t="s">
        <v>0</v>
      </c>
      <c r="C13" s="9" t="s">
        <v>41</v>
      </c>
      <c r="D13" s="9" t="s">
        <v>42</v>
      </c>
      <c r="E13" s="9" t="s">
        <v>43</v>
      </c>
      <c r="F13" s="9" t="s">
        <v>5</v>
      </c>
      <c r="G13" s="71" t="s">
        <v>6</v>
      </c>
      <c r="H13" s="71" t="s">
        <v>7</v>
      </c>
      <c r="I13" s="71" t="s">
        <v>8</v>
      </c>
      <c r="J13" s="71" t="s">
        <v>9</v>
      </c>
      <c r="K13" s="71" t="s">
        <v>10</v>
      </c>
      <c r="L13" s="71" t="s">
        <v>11</v>
      </c>
      <c r="M13" s="71" t="s">
        <v>12</v>
      </c>
      <c r="N13" s="71" t="s">
        <v>13</v>
      </c>
      <c r="O13" s="71" t="s">
        <v>14</v>
      </c>
      <c r="P13" s="71" t="s">
        <v>15</v>
      </c>
      <c r="Q13" s="71" t="s">
        <v>16</v>
      </c>
      <c r="R13" s="71" t="s">
        <v>17</v>
      </c>
      <c r="S13" s="71" t="s">
        <v>18</v>
      </c>
      <c r="T13" s="71" t="s">
        <v>19</v>
      </c>
      <c r="U13" s="71" t="s">
        <v>20</v>
      </c>
      <c r="V13" s="71" t="s">
        <v>21</v>
      </c>
      <c r="W13" s="71" t="s">
        <v>22</v>
      </c>
    </row>
    <row r="14" spans="1:23" x14ac:dyDescent="0.35">
      <c r="A14">
        <v>1</v>
      </c>
      <c r="B14" s="14" t="s">
        <v>23</v>
      </c>
      <c r="C14" s="12">
        <v>0.26840000000000003</v>
      </c>
      <c r="D14" s="17">
        <f>C14*$C$7</f>
        <v>6.4523360000000007</v>
      </c>
      <c r="E14" s="76">
        <f>VLOOKUP($B14,Ingredients!$A:$W,5,FALSE)*$D14/100</f>
        <v>23.280028288000004</v>
      </c>
      <c r="F14" s="76">
        <f>VLOOKUP($B14,Ingredients!$A:$W,6,FALSE)*$D14/100</f>
        <v>0.27886996192000008</v>
      </c>
      <c r="G14" s="67">
        <f>VLOOKUP($B14,Ingredients!$A:$W,7,FALSE)*$D14/100</f>
        <v>6.5168593600000005E-2</v>
      </c>
      <c r="H14" s="67">
        <f>VLOOKUP($B14,Ingredients!$A:$W,8,FALSE)*$D14/100</f>
        <v>1.0710877760000001E-2</v>
      </c>
      <c r="I14" s="67">
        <f>VLOOKUP($B14,Ingredients!$A:$W,9,FALSE)*$D14/100</f>
        <v>0</v>
      </c>
      <c r="J14" s="68">
        <f>VLOOKUP($B14,Ingredients!$A:$W,10,FALSE)*$D14/100</f>
        <v>0</v>
      </c>
      <c r="K14" s="67">
        <f>VLOOKUP($B14,Ingredients!$A:$W,11,FALSE)*$D14/100</f>
        <v>5.6135323200000009</v>
      </c>
      <c r="L14" s="67">
        <f>VLOOKUP($B14,Ingredients!$A:$W,12,FALSE)*$D14/100</f>
        <v>5.4070575679999999</v>
      </c>
      <c r="M14" s="67">
        <f>VLOOKUP($B14,Ingredients!$A:$W,13,FALSE)*$D14/100</f>
        <v>4.54889688</v>
      </c>
      <c r="N14" s="67">
        <f>VLOOKUP($B14,Ingredients!$A:$W,14,FALSE)*$D14/100</f>
        <v>6.4523360000000004E-3</v>
      </c>
      <c r="O14" s="67">
        <f>VLOOKUP($B14,Ingredients!$A:$W,15,FALSE)*$D14/100</f>
        <v>0</v>
      </c>
      <c r="P14" s="73">
        <f>VLOOKUP($B14,Ingredients!$A:$W,16,FALSE)*$D14/100</f>
        <v>0.50328220800000001</v>
      </c>
      <c r="Q14" s="73">
        <f>VLOOKUP($B14,Ingredients!$A:$W,17,FALSE)*$D14/100</f>
        <v>54.651285920000007</v>
      </c>
      <c r="R14" s="73">
        <f>VLOOKUP($B14,Ingredients!$A:$W,18,FALSE)*$D14/100</f>
        <v>4.539218376</v>
      </c>
      <c r="S14" s="73">
        <f>VLOOKUP($B14,Ingredients!$A:$W,19,FALSE)*$D14/100</f>
        <v>11.302556971200001</v>
      </c>
      <c r="T14" s="69">
        <f>VLOOKUP($B14,Ingredients!$A:$W,20,FALSE)*$D14/100</f>
        <v>0</v>
      </c>
      <c r="U14" s="68">
        <f>VLOOKUP($B14,Ingredients!$A:$W,21,FALSE)*$D14/100</f>
        <v>0</v>
      </c>
      <c r="V14" s="70">
        <f>VLOOKUP($B14,Ingredients!$A:$W,22,FALSE)*$D14/100</f>
        <v>0</v>
      </c>
      <c r="W14" s="67">
        <f>VLOOKUP($B14,Ingredients!$A:$W,23,FALSE)*$D14/100</f>
        <v>0.13556357936000002</v>
      </c>
    </row>
    <row r="15" spans="1:23" x14ac:dyDescent="0.35">
      <c r="A15">
        <v>2</v>
      </c>
      <c r="B15" s="14" t="s">
        <v>240</v>
      </c>
      <c r="C15" s="12">
        <v>0.68</v>
      </c>
      <c r="D15" s="17">
        <f>C15*$C$7</f>
        <v>16.347200000000001</v>
      </c>
      <c r="E15" s="76">
        <f>VLOOKUP($B15,Ingredients!$A:$W,5,FALSE)*$D15/100</f>
        <v>63.263663999999999</v>
      </c>
      <c r="F15" s="76">
        <f>VLOOKUP($B15,Ingredients!$A:$W,6,FALSE)*$D15/100</f>
        <v>0</v>
      </c>
      <c r="G15" s="67">
        <f>VLOOKUP($B15,Ingredients!$A:$W,7,FALSE)*$D15/100</f>
        <v>0</v>
      </c>
      <c r="H15" s="67">
        <f>VLOOKUP($B15,Ingredients!$A:$W,8,FALSE)*$D15/100</f>
        <v>0</v>
      </c>
      <c r="I15" s="67">
        <f>VLOOKUP($B15,Ingredients!$A:$W,9,FALSE)*$D15/100</f>
        <v>0</v>
      </c>
      <c r="J15" s="68">
        <f>VLOOKUP($B15,Ingredients!$A:$W,10,FALSE)*$D15/100</f>
        <v>0</v>
      </c>
      <c r="K15" s="67">
        <f>VLOOKUP($B15,Ingredients!$A:$W,11,FALSE)*$D15/100</f>
        <v>16.3145056</v>
      </c>
      <c r="L15" s="67">
        <f>VLOOKUP($B15,Ingredients!$A:$W,12,FALSE)*$D15/100</f>
        <v>0</v>
      </c>
      <c r="M15" s="67">
        <f>VLOOKUP($B15,Ingredients!$A:$W,13,FALSE)*$D15/100</f>
        <v>0</v>
      </c>
      <c r="N15" s="67">
        <f>VLOOKUP($B15,Ingredients!$A:$W,14,FALSE)*$D15/100</f>
        <v>16.3145056</v>
      </c>
      <c r="O15" s="67">
        <f>VLOOKUP($B15,Ingredients!$A:$W,15,FALSE)*$D15/100</f>
        <v>16.3145056</v>
      </c>
      <c r="P15" s="73">
        <f>VLOOKUP($B15,Ingredients!$A:$W,16,FALSE)*$D15/100</f>
        <v>8.1736000000000014E-3</v>
      </c>
      <c r="Q15" s="73">
        <f>VLOOKUP($B15,Ingredients!$A:$W,17,FALSE)*$D15/100</f>
        <v>0.32694400000000001</v>
      </c>
      <c r="R15" s="73">
        <f>VLOOKUP($B15,Ingredients!$A:$W,18,FALSE)*$D15/100</f>
        <v>0.16347200000000001</v>
      </c>
      <c r="S15" s="73">
        <f>VLOOKUP($B15,Ingredients!$A:$W,19,FALSE)*$D15/100</f>
        <v>0.16347200000000001</v>
      </c>
      <c r="T15" s="69">
        <f>VLOOKUP($B15,Ingredients!$A:$W,20,FALSE)*$D15/100</f>
        <v>0</v>
      </c>
      <c r="U15" s="68">
        <f>VLOOKUP($B15,Ingredients!$A:$W,21,FALSE)*$D15/100</f>
        <v>0</v>
      </c>
      <c r="V15" s="70">
        <f>VLOOKUP($B15,Ingredients!$A:$W,22,FALSE)*$D15/100</f>
        <v>0</v>
      </c>
      <c r="W15" s="67">
        <f>VLOOKUP($B15,Ingredients!$A:$W,23,FALSE)*$D15/100</f>
        <v>0</v>
      </c>
    </row>
    <row r="16" spans="1:23" x14ac:dyDescent="0.35">
      <c r="A16">
        <v>3</v>
      </c>
      <c r="B16" s="14" t="s">
        <v>26</v>
      </c>
      <c r="C16" s="12">
        <v>3.09E-2</v>
      </c>
      <c r="D16" s="17">
        <f>C16*$C$7</f>
        <v>0.74283599999999994</v>
      </c>
      <c r="E16" s="76">
        <f>VLOOKUP($B16,Ingredients!$A:$W,5,FALSE)*$D16/100</f>
        <v>1.8348049200000001</v>
      </c>
      <c r="F16" s="76">
        <f>VLOOKUP($B16,Ingredients!$A:$W,6,FALSE)*$D16/100</f>
        <v>0</v>
      </c>
      <c r="G16" s="67">
        <f>VLOOKUP($B16,Ingredients!$A:$W,7,FALSE)*$D16/100</f>
        <v>0</v>
      </c>
      <c r="H16" s="67">
        <f>VLOOKUP($B16,Ingredients!$A:$W,8,FALSE)*$D16/100</f>
        <v>0</v>
      </c>
      <c r="I16" s="67">
        <f>VLOOKUP($B16,Ingredients!$A:$W,9,FALSE)*$D16/100</f>
        <v>0</v>
      </c>
      <c r="J16" s="68">
        <f>VLOOKUP($B16,Ingredients!$A:$W,10,FALSE)*$D16/100</f>
        <v>0</v>
      </c>
      <c r="K16" s="67">
        <f>VLOOKUP($B16,Ingredients!$A:$W,11,FALSE)*$D16/100</f>
        <v>0.73875040199999997</v>
      </c>
      <c r="L16" s="67">
        <f>VLOOKUP($B16,Ingredients!$A:$W,12,FALSE)*$D16/100</f>
        <v>0</v>
      </c>
      <c r="M16" s="67">
        <f>VLOOKUP($B16,Ingredients!$A:$W,13,FALSE)*$D16/100</f>
        <v>0</v>
      </c>
      <c r="N16" s="67">
        <f>VLOOKUP($B16,Ingredients!$A:$W,14,FALSE)*$D16/100</f>
        <v>0</v>
      </c>
      <c r="O16" s="67">
        <f>VLOOKUP($B16,Ingredients!$A:$W,15,FALSE)*$D16/100</f>
        <v>0</v>
      </c>
      <c r="P16" s="73">
        <f>VLOOKUP($B16,Ingredients!$A:$W,16,FALSE)*$D16/100</f>
        <v>0</v>
      </c>
      <c r="Q16" s="73">
        <f>VLOOKUP($B16,Ingredients!$A:$W,17,FALSE)*$D16/100</f>
        <v>2.2285079999999997E-3</v>
      </c>
      <c r="R16" s="73">
        <f>VLOOKUP($B16,Ingredients!$A:$W,18,FALSE)*$D16/100</f>
        <v>2.2285079999999997E-3</v>
      </c>
      <c r="S16" s="73">
        <f>VLOOKUP($B16,Ingredients!$A:$W,19,FALSE)*$D16/100</f>
        <v>1.4856719999999997E-3</v>
      </c>
      <c r="T16" s="69">
        <f>VLOOKUP($B16,Ingredients!$A:$W,20,FALSE)*$D16/100</f>
        <v>0</v>
      </c>
      <c r="U16" s="68">
        <f>VLOOKUP($B16,Ingredients!$A:$W,21,FALSE)*$D16/100</f>
        <v>0</v>
      </c>
      <c r="V16" s="70">
        <f>VLOOKUP($B16,Ingredients!$A:$W,22,FALSE)*$D16/100</f>
        <v>0</v>
      </c>
      <c r="W16" s="67">
        <f>VLOOKUP($B16,Ingredients!$A:$W,23,FALSE)*$D16/100</f>
        <v>0</v>
      </c>
    </row>
    <row r="17" spans="1:23" x14ac:dyDescent="0.35">
      <c r="A17">
        <v>4</v>
      </c>
      <c r="B17" s="14" t="s">
        <v>80</v>
      </c>
      <c r="C17" s="35">
        <v>1.84E-2</v>
      </c>
      <c r="D17" s="17">
        <f>C17*$C$7</f>
        <v>0.44233599999999995</v>
      </c>
      <c r="E17" s="76">
        <f>VLOOKUP($B17,Ingredients!$A:$W,5,FALSE)*$D17/100</f>
        <v>1.4774022399999998</v>
      </c>
      <c r="F17" s="76">
        <f>VLOOKUP($B17,Ingredients!$A:$W,6,FALSE)*$D17/100</f>
        <v>0</v>
      </c>
      <c r="G17" s="67">
        <f>VLOOKUP($B17,Ingredients!$A:$W,7,FALSE)*$D17/100</f>
        <v>0</v>
      </c>
      <c r="H17" s="67">
        <f>VLOOKUP($B17,Ingredients!$A:$W,8,FALSE)*$D17/100</f>
        <v>0</v>
      </c>
      <c r="I17" s="67">
        <f>VLOOKUP($B17,Ingredients!$A:$W,9,FALSE)*$D17/100</f>
        <v>0</v>
      </c>
      <c r="J17" s="68">
        <f>VLOOKUP($B17,Ingredients!$A:$W,10,FALSE)*$D17/100</f>
        <v>0</v>
      </c>
      <c r="K17" s="67">
        <f>VLOOKUP($B17,Ingredients!$A:$W,11,FALSE)*$D17/100</f>
        <v>0.37067756799999996</v>
      </c>
      <c r="L17" s="67">
        <f>VLOOKUP($B17,Ingredients!$A:$W,12,FALSE)*$D17/100</f>
        <v>8.8467199999999998E-4</v>
      </c>
      <c r="M17" s="67">
        <f>VLOOKUP($B17,Ingredients!$A:$W,13,FALSE)*$D17/100</f>
        <v>0</v>
      </c>
      <c r="N17" s="67">
        <f>VLOOKUP($B17,Ingredients!$A:$W,14,FALSE)*$D17/100</f>
        <v>1.2827743999999999E-2</v>
      </c>
      <c r="O17" s="67">
        <f>VLOOKUP($B17,Ingredients!$A:$W,15,FALSE)*$D17/100</f>
        <v>0</v>
      </c>
      <c r="P17" s="73">
        <f>VLOOKUP($B17,Ingredients!$A:$W,16,FALSE)*$D17/100</f>
        <v>0</v>
      </c>
      <c r="Q17" s="73">
        <f>VLOOKUP($B17,Ingredients!$A:$W,17,FALSE)*$D17/100</f>
        <v>3.5386879999999996E-2</v>
      </c>
      <c r="R17" s="73">
        <f>VLOOKUP($B17,Ingredients!$A:$W,18,FALSE)*$D17/100</f>
        <v>0.42464255999999989</v>
      </c>
      <c r="S17" s="73">
        <f>VLOOKUP($B17,Ingredients!$A:$W,19,FALSE)*$D17/100</f>
        <v>8.8467199999999989E-3</v>
      </c>
      <c r="T17" s="69">
        <f>VLOOKUP($B17,Ingredients!$A:$W,20,FALSE)*$D17/100</f>
        <v>0</v>
      </c>
      <c r="U17" s="68">
        <f>VLOOKUP($B17,Ingredients!$A:$W,21,FALSE)*$D17/100</f>
        <v>0</v>
      </c>
      <c r="V17" s="70">
        <f>VLOOKUP($B17,Ingredients!$A:$W,22,FALSE)*$D17/100</f>
        <v>0</v>
      </c>
      <c r="W17" s="67">
        <f>VLOOKUP($B17,Ingredients!$A:$W,23,FALSE)*$D17/100</f>
        <v>1.3270079999999997E-3</v>
      </c>
    </row>
    <row r="18" spans="1:23" ht="16.399999999999999" customHeight="1" x14ac:dyDescent="0.35">
      <c r="A18">
        <v>5</v>
      </c>
      <c r="B18" s="14" t="s">
        <v>30</v>
      </c>
      <c r="C18" s="35">
        <v>1.6999999999999999E-3</v>
      </c>
      <c r="D18" s="17">
        <f>C18*$C$7</f>
        <v>4.0867999999999995E-2</v>
      </c>
      <c r="E18" s="76">
        <f>VLOOKUP($B18,Ingredients!$A:$W,5,FALSE)*$D18/100</f>
        <v>0.20219851679999998</v>
      </c>
      <c r="F18" s="76">
        <f>VLOOKUP($B18,Ingredients!$A:$W,6,FALSE)*$D18/100</f>
        <v>7.8711767999999988E-2</v>
      </c>
      <c r="G18" s="67">
        <f>VLOOKUP($B18,Ingredients!$A:$W,7,FALSE)*$D18/100</f>
        <v>8.7457519999999973E-3</v>
      </c>
      <c r="H18" s="67">
        <f>VLOOKUP($B18,Ingredients!$A:$W,8,FALSE)*$D18/100</f>
        <v>1.5488971999999999E-3</v>
      </c>
      <c r="I18" s="67">
        <f>VLOOKUP($B18,Ingredients!$A:$W,9,FALSE)*$D18/100</f>
        <v>0</v>
      </c>
      <c r="J18" s="68">
        <f>VLOOKUP($B18,Ingredients!$A:$W,10,FALSE)*$D18/100</f>
        <v>0</v>
      </c>
      <c r="K18" s="67">
        <f>VLOOKUP($B18,Ingredients!$A:$W,11,FALSE)*$D18/100</f>
        <v>3.0777690799999993E-2</v>
      </c>
      <c r="L18" s="67">
        <f>VLOOKUP($B18,Ingredients!$A:$W,12,FALSE)*$D18/100</f>
        <v>0</v>
      </c>
      <c r="M18" s="67">
        <f>VLOOKUP($B18,Ingredients!$A:$W,13,FALSE)*$D18/100</f>
        <v>0</v>
      </c>
      <c r="N18" s="67">
        <f>VLOOKUP($B18,Ingredients!$A:$W,14,FALSE)*$D18/100</f>
        <v>1.3098193999999997E-2</v>
      </c>
      <c r="O18" s="67">
        <f>VLOOKUP($B18,Ingredients!$A:$W,15,FALSE)*$D18/100</f>
        <v>1.3098193999999997E-2</v>
      </c>
      <c r="P18" s="73">
        <f>VLOOKUP($B18,Ingredients!$A:$W,16,FALSE)*$D18/100</f>
        <v>0</v>
      </c>
      <c r="Q18" s="73">
        <f>VLOOKUP($B18,Ingredients!$A:$W,17,FALSE)*$D18/100</f>
        <v>1.1238699999999999E-3</v>
      </c>
      <c r="R18" s="73">
        <f>VLOOKUP($B18,Ingredients!$A:$W,18,FALSE)*$D18/100</f>
        <v>7.3562399999999985E-5</v>
      </c>
      <c r="S18" s="73">
        <f>VLOOKUP($B18,Ingredients!$A:$W,19,FALSE)*$D18/100</f>
        <v>0</v>
      </c>
      <c r="T18" s="69">
        <f>VLOOKUP($B18,Ingredients!$A:$W,20,FALSE)*$D18/100</f>
        <v>0.75975246719999989</v>
      </c>
      <c r="U18" s="68">
        <f>VLOOKUP($B18,Ingredients!$A:$W,21,FALSE)*$D18/100</f>
        <v>2.5338159999999994E-4</v>
      </c>
      <c r="V18" s="70">
        <f>VLOOKUP($B18,Ingredients!$A:$W,22,FALSE)*$D18/100</f>
        <v>0</v>
      </c>
      <c r="W18" s="67">
        <f>VLOOKUP($B18,Ingredients!$A:$W,23,FALSE)*$D18/100</f>
        <v>0</v>
      </c>
    </row>
    <row r="19" spans="1:23" x14ac:dyDescent="0.35">
      <c r="A19">
        <v>6</v>
      </c>
      <c r="B19" s="14" t="s">
        <v>32</v>
      </c>
      <c r="C19" s="35">
        <v>5.9999999999999995E-4</v>
      </c>
      <c r="D19" s="17">
        <f t="shared" ref="D19" si="2">C19*$C$7</f>
        <v>1.4423999999999998E-2</v>
      </c>
      <c r="E19" s="76">
        <f>VLOOKUP($B19,Ingredients!$A:$W,5,FALSE)*$D19/100</f>
        <v>4.6254883199999999E-2</v>
      </c>
      <c r="F19" s="76">
        <f>VLOOKUP($B19,Ingredients!$A:$W,6,FALSE)*$D19/100</f>
        <v>5.1926399999999991E-5</v>
      </c>
      <c r="G19" s="67">
        <f>VLOOKUP($B19,Ingredients!$A:$W,7,FALSE)*$D19/100</f>
        <v>5.7695999999999998E-6</v>
      </c>
      <c r="H19" s="67">
        <f>VLOOKUP($B19,Ingredients!$A:$W,8,FALSE)*$D19/100</f>
        <v>2.8847999999999999E-6</v>
      </c>
      <c r="I19" s="67">
        <f>VLOOKUP($B19,Ingredients!$A:$W,9,FALSE)*$D19/100</f>
        <v>0</v>
      </c>
      <c r="J19" s="68">
        <f>VLOOKUP($B19,Ingredients!$A:$W,10,FALSE)*$D19/100</f>
        <v>0</v>
      </c>
      <c r="K19" s="67">
        <f>VLOOKUP($B19,Ingredients!$A:$W,11,FALSE)*$D19/100</f>
        <v>1.1534872799999998E-2</v>
      </c>
      <c r="L19" s="67">
        <f>VLOOKUP($B19,Ingredients!$A:$W,12,FALSE)*$D19/100</f>
        <v>0</v>
      </c>
      <c r="M19" s="67">
        <f>VLOOKUP($B19,Ingredients!$A:$W,13,FALSE)*$D19/100</f>
        <v>0</v>
      </c>
      <c r="N19" s="67">
        <f>VLOOKUP($B19,Ingredients!$A:$W,14,FALSE)*$D19/100</f>
        <v>2.4592919999999996E-3</v>
      </c>
      <c r="O19" s="67">
        <f>VLOOKUP($B19,Ingredients!$A:$W,15,FALSE)*$D19/100</f>
        <v>2.4592919999999996E-3</v>
      </c>
      <c r="P19" s="73">
        <f>VLOOKUP($B19,Ingredients!$A:$W,16,FALSE)*$D19/100</f>
        <v>1.2981599999999998E-5</v>
      </c>
      <c r="Q19" s="73">
        <f>VLOOKUP($B19,Ingredients!$A:$W,17,FALSE)*$D19/100</f>
        <v>4.2045959999999997E-3</v>
      </c>
      <c r="R19" s="73">
        <f>VLOOKUP($B19,Ingredients!$A:$W,18,FALSE)*$D19/100</f>
        <v>1.15291032E-2</v>
      </c>
      <c r="S19" s="73">
        <f>VLOOKUP($B19,Ingredients!$A:$W,19,FALSE)*$D19/100</f>
        <v>1.1596895999999998E-3</v>
      </c>
      <c r="T19" s="69">
        <f>VLOOKUP($B19,Ingredients!$A:$W,20,FALSE)*$D19/100</f>
        <v>0</v>
      </c>
      <c r="U19" s="68">
        <f>VLOOKUP($B19,Ingredients!$A:$W,21,FALSE)*$D19/100</f>
        <v>0</v>
      </c>
      <c r="V19" s="70">
        <f>VLOOKUP($B19,Ingredients!$A:$W,22,FALSE)*$D19/100</f>
        <v>0</v>
      </c>
      <c r="W19" s="67">
        <f>VLOOKUP($B19,Ingredients!$A:$W,23,FALSE)*$D19/100</f>
        <v>0</v>
      </c>
    </row>
    <row r="20" spans="1:23" x14ac:dyDescent="0.35">
      <c r="B20" s="14"/>
      <c r="C20" s="35"/>
      <c r="D20" s="17"/>
      <c r="E20" s="76"/>
      <c r="F20" s="76"/>
      <c r="G20" s="67"/>
      <c r="H20" s="67"/>
      <c r="I20" s="67"/>
      <c r="J20" s="68"/>
      <c r="K20" s="67"/>
      <c r="L20" s="67"/>
      <c r="M20" s="67"/>
      <c r="N20" s="67"/>
      <c r="O20" s="67"/>
      <c r="P20" s="73"/>
      <c r="Q20" s="73"/>
      <c r="R20" s="73"/>
      <c r="S20" s="73"/>
      <c r="T20" s="69"/>
      <c r="U20" s="68"/>
      <c r="V20" s="70"/>
      <c r="W20" s="67"/>
    </row>
    <row r="21" spans="1:23" x14ac:dyDescent="0.35">
      <c r="B21" s="14"/>
      <c r="C21" s="35"/>
      <c r="D21" s="17"/>
      <c r="E21" s="75"/>
      <c r="F21" s="75"/>
      <c r="G21" s="67"/>
      <c r="H21" s="67"/>
      <c r="I21" s="67"/>
      <c r="J21" s="68"/>
      <c r="K21" s="67"/>
      <c r="L21" s="67"/>
      <c r="M21" s="67"/>
      <c r="N21" s="67"/>
      <c r="O21" s="67"/>
      <c r="P21" s="73"/>
      <c r="Q21" s="73"/>
      <c r="R21" s="73"/>
      <c r="S21" s="73"/>
      <c r="T21" s="69"/>
      <c r="U21" s="68"/>
      <c r="V21" s="70"/>
      <c r="W21" s="67"/>
    </row>
    <row r="22" spans="1:23" x14ac:dyDescent="0.35">
      <c r="A22">
        <v>9</v>
      </c>
      <c r="B22" s="14"/>
      <c r="C22" s="35"/>
      <c r="D22" s="17"/>
      <c r="E22" s="75"/>
      <c r="F22" s="75"/>
      <c r="G22" s="67"/>
      <c r="H22" s="67"/>
      <c r="I22" s="67"/>
      <c r="J22" s="68"/>
      <c r="K22" s="67"/>
      <c r="L22" s="67"/>
      <c r="M22" s="67"/>
      <c r="N22" s="67"/>
      <c r="O22" s="67"/>
      <c r="P22" s="73"/>
      <c r="Q22" s="73"/>
      <c r="R22" s="73"/>
      <c r="S22" s="73"/>
      <c r="T22" s="69"/>
      <c r="U22" s="68"/>
      <c r="V22" s="70"/>
      <c r="W22" s="67"/>
    </row>
    <row r="23" spans="1:23" x14ac:dyDescent="0.35">
      <c r="A23">
        <v>10</v>
      </c>
      <c r="B23" s="14"/>
      <c r="C23" s="13"/>
      <c r="D23" s="17"/>
      <c r="E23" s="75"/>
      <c r="F23" s="75"/>
      <c r="G23" s="67"/>
      <c r="H23" s="67"/>
      <c r="I23" s="67"/>
      <c r="J23" s="68"/>
      <c r="K23" s="67"/>
      <c r="L23" s="67"/>
      <c r="M23" s="67"/>
      <c r="N23" s="67"/>
      <c r="O23" s="67"/>
      <c r="P23" s="73"/>
      <c r="Q23" s="73"/>
      <c r="R23" s="73"/>
      <c r="S23" s="73"/>
      <c r="T23" s="69"/>
      <c r="U23" s="68"/>
      <c r="V23" s="70"/>
      <c r="W23" s="67"/>
    </row>
    <row r="24" spans="1:23" x14ac:dyDescent="0.35">
      <c r="A24">
        <v>11</v>
      </c>
      <c r="B24" s="14"/>
      <c r="C24" s="13"/>
      <c r="D24" s="17"/>
      <c r="E24" s="75"/>
      <c r="F24" s="75"/>
      <c r="G24" s="67"/>
      <c r="H24" s="67"/>
      <c r="I24" s="67"/>
      <c r="J24" s="68"/>
      <c r="K24" s="67"/>
      <c r="L24" s="67"/>
      <c r="M24" s="67"/>
      <c r="N24" s="67"/>
      <c r="O24" s="67"/>
      <c r="P24" s="73"/>
      <c r="Q24" s="73"/>
      <c r="R24" s="73"/>
      <c r="S24" s="73"/>
      <c r="T24" s="69"/>
      <c r="U24" s="68"/>
      <c r="V24" s="70"/>
      <c r="W24" s="67"/>
    </row>
    <row r="25" spans="1:23" x14ac:dyDescent="0.35">
      <c r="A25">
        <v>12</v>
      </c>
      <c r="B25" s="14"/>
      <c r="C25" s="13"/>
      <c r="D25" s="17"/>
      <c r="E25" s="75"/>
      <c r="F25" s="75"/>
      <c r="G25" s="67"/>
      <c r="H25" s="67"/>
      <c r="I25" s="67"/>
      <c r="J25" s="68"/>
      <c r="K25" s="67"/>
      <c r="L25" s="67"/>
      <c r="M25" s="67"/>
      <c r="N25" s="67"/>
      <c r="O25" s="67"/>
      <c r="P25" s="73"/>
      <c r="Q25" s="73"/>
      <c r="R25" s="73"/>
      <c r="S25" s="73"/>
      <c r="T25" s="69"/>
      <c r="U25" s="68"/>
      <c r="V25" s="70"/>
      <c r="W25" s="67"/>
    </row>
    <row r="26" spans="1:23" x14ac:dyDescent="0.35">
      <c r="A26">
        <v>13</v>
      </c>
      <c r="B26" s="14"/>
      <c r="C26" s="13"/>
      <c r="D26" s="17"/>
      <c r="E26" s="75"/>
      <c r="F26" s="75"/>
      <c r="G26" s="67"/>
      <c r="H26" s="67"/>
      <c r="I26" s="67"/>
      <c r="J26" s="68"/>
      <c r="K26" s="67"/>
      <c r="L26" s="67"/>
      <c r="M26" s="67"/>
      <c r="N26" s="67"/>
      <c r="O26" s="67"/>
      <c r="P26" s="73"/>
      <c r="Q26" s="73"/>
      <c r="R26" s="73"/>
      <c r="S26" s="73"/>
      <c r="T26" s="69"/>
      <c r="U26" s="68"/>
      <c r="V26" s="70"/>
      <c r="W26" s="67"/>
    </row>
    <row r="27" spans="1:23" x14ac:dyDescent="0.35">
      <c r="A27">
        <v>14</v>
      </c>
      <c r="B27" s="14"/>
      <c r="C27" s="13"/>
      <c r="D27" s="17"/>
      <c r="E27" s="75"/>
      <c r="F27" s="75"/>
      <c r="G27" s="67"/>
      <c r="H27" s="67"/>
      <c r="I27" s="67"/>
      <c r="J27" s="68"/>
      <c r="K27" s="67"/>
      <c r="L27" s="67"/>
      <c r="M27" s="67"/>
      <c r="N27" s="67"/>
      <c r="O27" s="67"/>
      <c r="P27" s="73"/>
      <c r="Q27" s="73"/>
      <c r="R27" s="73"/>
      <c r="S27" s="73"/>
      <c r="T27" s="69"/>
      <c r="U27" s="68"/>
      <c r="V27" s="70"/>
      <c r="W27" s="67"/>
    </row>
    <row r="28" spans="1:23" x14ac:dyDescent="0.35">
      <c r="A28">
        <v>15</v>
      </c>
      <c r="B28" s="14"/>
      <c r="C28" s="13"/>
      <c r="D28" s="17"/>
      <c r="E28" s="75"/>
      <c r="F28" s="75"/>
      <c r="G28" s="67"/>
      <c r="H28" s="67"/>
      <c r="I28" s="67"/>
      <c r="J28" s="68"/>
      <c r="K28" s="67"/>
      <c r="L28" s="67"/>
      <c r="M28" s="67"/>
      <c r="N28" s="67"/>
      <c r="O28" s="67"/>
      <c r="P28" s="73"/>
      <c r="Q28" s="73"/>
      <c r="R28" s="73"/>
      <c r="S28" s="73"/>
      <c r="T28" s="69"/>
      <c r="U28" s="68"/>
      <c r="V28" s="70"/>
      <c r="W28" s="67"/>
    </row>
    <row r="29" spans="1:23" x14ac:dyDescent="0.35">
      <c r="A29">
        <v>16</v>
      </c>
      <c r="B29" s="14"/>
      <c r="C29" s="13"/>
      <c r="D29" s="17"/>
      <c r="E29" s="15"/>
      <c r="F29" s="15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</row>
    <row r="30" spans="1:23" x14ac:dyDescent="0.35">
      <c r="A30">
        <v>17</v>
      </c>
      <c r="B30" s="14"/>
      <c r="C30" s="13"/>
      <c r="D30" s="17"/>
      <c r="E30" s="15"/>
      <c r="F30" s="15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</row>
    <row r="31" spans="1:23" x14ac:dyDescent="0.35">
      <c r="A31">
        <v>18</v>
      </c>
      <c r="B31" s="14"/>
      <c r="C31" s="13"/>
      <c r="D31" s="17"/>
      <c r="E31" s="15"/>
      <c r="F31" s="15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</row>
    <row r="32" spans="1:23" x14ac:dyDescent="0.35">
      <c r="A32">
        <v>19</v>
      </c>
      <c r="B32" s="14"/>
      <c r="C32" s="13"/>
      <c r="D32" s="17"/>
      <c r="E32" s="15"/>
      <c r="F32" s="15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</row>
    <row r="33" spans="1:23" x14ac:dyDescent="0.35">
      <c r="A33">
        <v>20</v>
      </c>
      <c r="B33" s="14"/>
      <c r="C33" s="13"/>
      <c r="D33" s="17"/>
      <c r="E33" s="15"/>
      <c r="F33" s="15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</row>
    <row r="34" spans="1:23" x14ac:dyDescent="0.35">
      <c r="A34">
        <v>21</v>
      </c>
      <c r="B34" s="14"/>
      <c r="C34" s="13"/>
      <c r="D34" s="17"/>
      <c r="E34" s="15"/>
      <c r="F34" s="15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</row>
  </sheetData>
  <mergeCells count="1">
    <mergeCell ref="E9:W9"/>
  </mergeCells>
  <pageMargins left="0.7" right="0.7" top="0.75" bottom="0.75" header="0.3" footer="0.3"/>
  <pageSetup orientation="portrait" r:id="rId1"/>
  <headerFooter>
    <oddHeader>&amp;R&amp;"Calibri"&amp;10&amp;K000000Highly Restricted&amp;1#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D1258CC-A563-4A34-84B3-C46651A0D0A2}">
          <x14:formula1>
            <xm:f>Ingredients!$A$3:$A$1048576</xm:f>
          </x14:formula1>
          <xm:sqref>B14:B34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E69AA-C1CB-44AC-8211-9A3EC2EAE8C0}">
  <dimension ref="A1:K46"/>
  <sheetViews>
    <sheetView topLeftCell="A34" zoomScaleNormal="100" workbookViewId="0">
      <selection activeCell="C21" sqref="C21"/>
    </sheetView>
  </sheetViews>
  <sheetFormatPr defaultColWidth="9.1796875" defaultRowHeight="14.5" x14ac:dyDescent="0.35"/>
  <cols>
    <col min="1" max="1" width="17.453125" bestFit="1" customWidth="1"/>
    <col min="2" max="2" width="6.453125" bestFit="1" customWidth="1"/>
    <col min="3" max="3" width="30.54296875" bestFit="1" customWidth="1"/>
    <col min="4" max="4" width="33" customWidth="1"/>
    <col min="5" max="5" width="31.54296875" bestFit="1" customWidth="1"/>
    <col min="6" max="6" width="26.453125" customWidth="1"/>
    <col min="7" max="7" width="27.1796875" customWidth="1"/>
    <col min="8" max="8" width="23.54296875" customWidth="1"/>
    <col min="9" max="9" width="6.81640625" bestFit="1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.81640625" bestFit="1" customWidth="1"/>
    <col min="14" max="14" width="8.1796875" bestFit="1" customWidth="1"/>
    <col min="15" max="15" width="9.453125" bestFit="1" customWidth="1"/>
    <col min="16" max="16" width="8.1796875" bestFit="1" customWidth="1"/>
    <col min="17" max="17" width="7.54296875" bestFit="1" customWidth="1"/>
  </cols>
  <sheetData>
    <row r="1" spans="1:9" x14ac:dyDescent="0.35">
      <c r="A1" s="13" t="s">
        <v>36</v>
      </c>
    </row>
    <row r="2" spans="1:9" x14ac:dyDescent="0.35">
      <c r="A2" t="s">
        <v>94</v>
      </c>
      <c r="B2" s="13" t="s">
        <v>138</v>
      </c>
      <c r="D2" t="str">
        <f>A2&amp;" "&amp; B2</f>
        <v>Formulation STOS2</v>
      </c>
      <c r="G2" cm="1">
        <f t="array" aca="1" ref="G2" ca="1">INDIRECT("'"&amp;D2&amp;"'!C7")</f>
        <v>24.04</v>
      </c>
      <c r="H2" t="s">
        <v>46</v>
      </c>
      <c r="I2" t="s">
        <v>99</v>
      </c>
    </row>
    <row r="3" spans="1:9" x14ac:dyDescent="0.35">
      <c r="A3" t="str">
        <f>'Formulation STOF2'!B6</f>
        <v>Smooth Texture Sugar Free Orange Natural Dyes</v>
      </c>
      <c r="D3" t="s">
        <v>44</v>
      </c>
      <c r="E3" t="s">
        <v>45</v>
      </c>
      <c r="G3" s="27" cm="1">
        <f t="array" aca="1" ref="G3" ca="1">INDIRECT("'"&amp;D2&amp;"'!D6")</f>
        <v>48.08</v>
      </c>
      <c r="H3" t="s">
        <v>46</v>
      </c>
      <c r="I3" t="s">
        <v>100</v>
      </c>
    </row>
    <row r="5" spans="1:9" ht="15.5" x14ac:dyDescent="0.35">
      <c r="A5" s="146" t="s">
        <v>104</v>
      </c>
      <c r="B5" t="s">
        <v>101</v>
      </c>
      <c r="C5" s="18">
        <f ca="1">(4*F24)+(4*C10)+(9*C31)</f>
        <v>93.531957200640008</v>
      </c>
      <c r="D5" s="50" t="s">
        <v>95</v>
      </c>
      <c r="E5" s="74" t="s">
        <v>96</v>
      </c>
      <c r="F5" s="74" t="s">
        <v>98</v>
      </c>
    </row>
    <row r="6" spans="1:9" ht="15.5" x14ac:dyDescent="0.35">
      <c r="A6" s="146"/>
      <c r="B6" t="s">
        <v>102</v>
      </c>
      <c r="C6" s="18">
        <f ca="1">(4*F24)+(9*C31)+(4*(C10-D10))+(2*D10)</f>
        <v>82.71607272064</v>
      </c>
      <c r="D6" s="50" t="s">
        <v>95</v>
      </c>
      <c r="E6" s="74" t="s">
        <v>97</v>
      </c>
      <c r="F6" s="74" t="s">
        <v>115</v>
      </c>
    </row>
    <row r="7" spans="1:9" ht="15.5" x14ac:dyDescent="0.35">
      <c r="A7" s="146"/>
      <c r="B7" t="s">
        <v>103</v>
      </c>
      <c r="C7" s="18">
        <f ca="1">(4*F24)+(9*C31)+(4*(C10-D10))+(2*E10)</f>
        <v>80.997982000640008</v>
      </c>
      <c r="D7" s="50" t="s">
        <v>95</v>
      </c>
      <c r="E7" s="74" t="s">
        <v>97</v>
      </c>
      <c r="F7" s="74" t="s">
        <v>116</v>
      </c>
    </row>
    <row r="8" spans="1:9" s="51" customFormat="1" ht="7" customHeight="1" x14ac:dyDescent="0.35">
      <c r="C8" s="52"/>
      <c r="D8" s="53"/>
      <c r="E8" s="53"/>
    </row>
    <row r="9" spans="1:9" ht="30" customHeight="1" x14ac:dyDescent="0.35">
      <c r="A9" s="150" t="s">
        <v>49</v>
      </c>
      <c r="B9" s="18"/>
      <c r="C9" s="1" t="str">
        <f ca="1">'Nutrition STONF'!C9</f>
        <v>Total carbohydrate</v>
      </c>
      <c r="D9" s="1" t="str">
        <f ca="1">'Nutrition STONF'!D9</f>
        <v>Total dietary fiber</v>
      </c>
      <c r="E9" s="1" t="str">
        <f ca="1">'Nutrition STONF'!E9</f>
        <v>Soluble fiber</v>
      </c>
    </row>
    <row r="10" spans="1:9" x14ac:dyDescent="0.35">
      <c r="A10" s="150"/>
      <c r="B10" s="18" t="s">
        <v>50</v>
      </c>
      <c r="C10" s="21" cm="1">
        <f t="array" aca="1" ref="C10" ca="1">INDIRECT("'"&amp;D2&amp;"'!K8")</f>
        <v>23.079778453600003</v>
      </c>
      <c r="D10" s="21" cm="1">
        <f t="array" aca="1" ref="D10" ca="1">INDIRECT("'"&amp;D2&amp;"'!L8")</f>
        <v>5.4079422399999997</v>
      </c>
      <c r="E10" s="21" cm="1">
        <f t="array" aca="1" ref="E10" ca="1">INDIRECT("'"&amp;D2&amp;"'!M8")</f>
        <v>4.54889688</v>
      </c>
    </row>
    <row r="11" spans="1:9" x14ac:dyDescent="0.35">
      <c r="A11" s="150"/>
      <c r="B11" s="18" t="s">
        <v>51</v>
      </c>
      <c r="C11" s="1">
        <f>'Nutrition STONF'!C11</f>
        <v>275</v>
      </c>
      <c r="D11" s="1">
        <f>'Nutrition STONF'!D11</f>
        <v>28</v>
      </c>
      <c r="E11" s="1" t="str">
        <f>'Nutrition STONF'!E11</f>
        <v>NA</v>
      </c>
    </row>
    <row r="12" spans="1:9" x14ac:dyDescent="0.35">
      <c r="A12" s="150"/>
      <c r="B12" s="18" t="s">
        <v>53</v>
      </c>
      <c r="C12" s="26">
        <f ca="1">C10/C11</f>
        <v>8.3926467104000008E-2</v>
      </c>
      <c r="D12" s="26">
        <f ca="1">D10/D11</f>
        <v>0.19314079428571426</v>
      </c>
      <c r="E12" s="26" t="s">
        <v>52</v>
      </c>
    </row>
    <row r="13" spans="1:9" ht="127" customHeight="1" x14ac:dyDescent="0.35">
      <c r="A13" s="150"/>
      <c r="B13" s="18"/>
      <c r="C13" s="1" t="str">
        <f>'Nutrition STONF'!C13</f>
        <v>&lt; 0.5g - express as 0
&lt; 1g - express as "contains less than 1g" or "less than 1g"
≥1g - express to nearest 1g increment
Insignificant amount is &lt; 1g</v>
      </c>
      <c r="D13" s="1" t="str">
        <f>'Nutrition STONF'!D13</f>
        <v>&lt; 0.5g - express as 0
&lt; 1g - express as "contains less than 1g" or "less than 1g"
≥1g - express to nearest 1g increment
Insignificant amount is &lt; 1g</v>
      </c>
      <c r="E13" s="1" t="str">
        <f>'Nutrition STONF'!E13</f>
        <v>- Label value  based on calculation of psyllium being 70% soluble fiber (3.4g psyllium * 0.70 = 2.4g)
&lt; 0.5g - express as 0
&lt; 1g - express as "contains less than 1g" or "less than 1g"
≥1g - express to nearest 1g increment
Insignificant amount is &lt; 0.5g</v>
      </c>
    </row>
    <row r="14" spans="1:9" x14ac:dyDescent="0.35">
      <c r="A14" s="150"/>
      <c r="B14" s="18" t="s">
        <v>56</v>
      </c>
      <c r="C14" s="31" t="s">
        <v>178</v>
      </c>
      <c r="D14" s="31" t="s">
        <v>58</v>
      </c>
      <c r="E14" s="31" t="s">
        <v>59</v>
      </c>
    </row>
    <row r="16" spans="1:9" x14ac:dyDescent="0.35">
      <c r="A16" s="150" t="s">
        <v>49</v>
      </c>
      <c r="B16" s="18"/>
      <c r="C16" s="1" t="str">
        <f>'Nutrition STONF'!C16</f>
        <v>Iron [Mandatory]</v>
      </c>
      <c r="D16" s="1" t="str">
        <f>'Nutrition STONF'!D16</f>
        <v>Potassium [Mandatory]</v>
      </c>
      <c r="E16" s="1" t="str">
        <f>'Nutrition STONF'!E16</f>
        <v>Calcium [Mandatory]</v>
      </c>
    </row>
    <row r="17" spans="1:6" x14ac:dyDescent="0.35">
      <c r="A17" s="150"/>
      <c r="B17" s="18" t="s">
        <v>50</v>
      </c>
      <c r="C17" s="22" cm="1">
        <f t="array" aca="1" ref="C17" ca="1">INDIRECT("'"&amp;D2&amp;"'!P8")</f>
        <v>0.51146878959999997</v>
      </c>
      <c r="D17" s="22" cm="1">
        <f t="array" aca="1" ref="D17" ca="1">INDIRECT("'"&amp;D2&amp;"'!Q8")</f>
        <v>55.021173774000005</v>
      </c>
      <c r="E17" s="22" cm="1">
        <f t="array" aca="1" ref="E17" ca="1">INDIRECT("'"&amp;D2&amp;"'!S8")</f>
        <v>11.4775210528</v>
      </c>
    </row>
    <row r="18" spans="1:6" x14ac:dyDescent="0.35">
      <c r="A18" s="150"/>
      <c r="B18" s="18" t="s">
        <v>51</v>
      </c>
      <c r="C18" s="1">
        <f>'Nutrition STONF'!C18</f>
        <v>18</v>
      </c>
      <c r="D18" s="1">
        <f>'Nutrition STONF'!D18</f>
        <v>4700</v>
      </c>
      <c r="E18" s="1">
        <f>'Nutrition STONF'!E18</f>
        <v>1300</v>
      </c>
    </row>
    <row r="19" spans="1:6" x14ac:dyDescent="0.35">
      <c r="A19" s="150"/>
      <c r="B19" s="18" t="s">
        <v>53</v>
      </c>
      <c r="C19" s="26">
        <f ca="1">C17/C18</f>
        <v>2.8414932755555553E-2</v>
      </c>
      <c r="D19" s="26">
        <f t="shared" ref="D19:E19" ca="1" si="0">D17/D18</f>
        <v>1.1706632717872341E-2</v>
      </c>
      <c r="E19" s="26">
        <f t="shared" ca="1" si="0"/>
        <v>8.8288623483076933E-3</v>
      </c>
    </row>
    <row r="20" spans="1:6" ht="39" x14ac:dyDescent="0.35">
      <c r="A20" s="150"/>
      <c r="B20" s="18"/>
      <c r="C20" s="1" t="str">
        <f>'Nutrition STONF'!C20</f>
        <v>&lt;2% DV: shall not be declared 
&gt; 2% DV: round to nearest 0.1 mg and round to nearest % DV</v>
      </c>
      <c r="D20" s="1" t="str">
        <f>'Nutrition STONF'!D20</f>
        <v>&lt;2% DV: shall not be declared 
&gt; 2% DV: round to nearest 10 mg and round to nearest % DV</v>
      </c>
      <c r="E20" s="1" t="str">
        <f>'Nutrition STONF'!E20</f>
        <v>&lt;2% DV: shall not be declared 
&gt; 2% DV: round to nearest 10 mg and round to nearest % DV</v>
      </c>
    </row>
    <row r="21" spans="1:6" x14ac:dyDescent="0.35">
      <c r="A21" s="150"/>
      <c r="B21" s="18" t="s">
        <v>56</v>
      </c>
      <c r="C21" s="130">
        <v>0.02</v>
      </c>
      <c r="D21" s="31" t="s">
        <v>60</v>
      </c>
      <c r="E21" s="31" t="s">
        <v>131</v>
      </c>
    </row>
    <row r="23" spans="1:6" x14ac:dyDescent="0.35">
      <c r="A23" s="150" t="s">
        <v>49</v>
      </c>
      <c r="B23" s="18"/>
      <c r="C23" s="1" t="str">
        <f>'Nutrition STONF'!C23</f>
        <v>Vitamin A [Voluntary]</v>
      </c>
      <c r="D23" s="1" t="str">
        <f>'Nutrition STONF'!D23</f>
        <v>Vitamin C [Voluntary]</v>
      </c>
      <c r="E23" s="1" t="str">
        <f>'Nutrition STONF'!E23</f>
        <v>Vitamin D [Mandatory]</v>
      </c>
      <c r="F23" s="1" t="str">
        <f>'Nutrition STONF'!F23</f>
        <v>Protein</v>
      </c>
    </row>
    <row r="24" spans="1:6" x14ac:dyDescent="0.35">
      <c r="A24" s="150"/>
      <c r="B24" s="18" t="s">
        <v>50</v>
      </c>
      <c r="C24" s="23" cm="1">
        <f t="array" aca="1" ref="C24" ca="1">INDIRECT("'"&amp;D2&amp;"'!T8")</f>
        <v>0.75975246719999989</v>
      </c>
      <c r="D24" s="24" cm="1">
        <f t="array" aca="1" ref="D24" ca="1">INDIRECT("'"&amp;D2&amp;"'!U8")</f>
        <v>2.5338159999999994E-4</v>
      </c>
      <c r="E24" s="24" cm="1">
        <f t="array" aca="1" ref="E24" ca="1">INDIRECT("'"&amp;D2&amp;"'!V8")</f>
        <v>0</v>
      </c>
      <c r="F24" s="21" cm="1">
        <f t="array" aca="1" ref="F24" ca="1">INDIRECT("'"&amp;D2&amp;"'!W8")</f>
        <v>0.13689058736000001</v>
      </c>
    </row>
    <row r="25" spans="1:6" x14ac:dyDescent="0.35">
      <c r="A25" s="150"/>
      <c r="B25" s="18" t="s">
        <v>51</v>
      </c>
      <c r="C25" s="1" t="str">
        <f>'Nutrition STONF'!C25</f>
        <v>900 mcg RAE</v>
      </c>
      <c r="D25" s="1">
        <f>'Nutrition STONF'!D25</f>
        <v>90</v>
      </c>
      <c r="E25" s="1" t="str">
        <f>'Nutrition STONF'!E25</f>
        <v>20 microgram</v>
      </c>
      <c r="F25" s="1" t="str">
        <f>'Nutrition STONF'!F25</f>
        <v>NA</v>
      </c>
    </row>
    <row r="26" spans="1:6" x14ac:dyDescent="0.35">
      <c r="A26" s="150"/>
      <c r="B26" s="18" t="s">
        <v>53</v>
      </c>
      <c r="C26" s="26" t="s">
        <v>52</v>
      </c>
      <c r="D26" s="26" t="s">
        <v>52</v>
      </c>
      <c r="E26" s="26">
        <f ca="1">E24/20</f>
        <v>0</v>
      </c>
      <c r="F26" s="26" t="s">
        <v>52</v>
      </c>
    </row>
    <row r="27" spans="1:6" ht="78" x14ac:dyDescent="0.35">
      <c r="A27" s="150"/>
      <c r="B27" s="18"/>
      <c r="C27" s="1" t="str">
        <f>'Nutrition STONF'!C27</f>
        <v>&lt;2% DV: shall not be declared 
&gt; 2% DV: round to nearest 10 mcg RAE and round to nearest % DV</v>
      </c>
      <c r="D27" s="1" t="str">
        <f>'Nutrition STONF'!D27</f>
        <v>&lt;2% DV: shall not be declared 
&gt; 2% DV: round to nearest 1 mg and round to nearest % DV</v>
      </c>
      <c r="E27" s="1" t="str">
        <f>'Nutrition STONF'!E27</f>
        <v>&lt;2% DV: shall not be declared 
&gt; 2% DV: round to nearest 0.1 mcg and round to nearest % DV</v>
      </c>
      <c r="F27" s="1" t="str">
        <f>'Nutrition STONF'!F27</f>
        <v>&lt; 0.5g - express as 0
&lt; 1g - express as "contains less than 1g" or "less than 1g"
≥1g - express to nearest 1g increment
Insignificant amount is &lt; 0.5g</v>
      </c>
    </row>
    <row r="28" spans="1:6" x14ac:dyDescent="0.35">
      <c r="A28" s="150"/>
      <c r="B28" s="18" t="s">
        <v>56</v>
      </c>
      <c r="C28" s="31">
        <v>0</v>
      </c>
      <c r="D28" s="31" t="s">
        <v>62</v>
      </c>
      <c r="E28" s="31">
        <v>0</v>
      </c>
      <c r="F28" s="31" t="s">
        <v>63</v>
      </c>
    </row>
    <row r="30" spans="1:6" x14ac:dyDescent="0.35">
      <c r="A30" s="149" t="s">
        <v>64</v>
      </c>
      <c r="B30" s="18"/>
      <c r="C30" s="1" t="str">
        <f>'Nutrition STONF'!C30</f>
        <v>Total Fat</v>
      </c>
      <c r="D30" s="1" t="str">
        <f>'Nutrition STONF'!D30</f>
        <v>Saturated Fat</v>
      </c>
      <c r="E30" s="1" t="str">
        <f>'Nutrition STONF'!E30</f>
        <v>Trans Fat</v>
      </c>
      <c r="F30" s="1" t="str">
        <f>'Nutrition STONF'!F30</f>
        <v>Cholesterol</v>
      </c>
    </row>
    <row r="31" spans="1:6" x14ac:dyDescent="0.35">
      <c r="A31" s="149"/>
      <c r="B31" s="18" t="s">
        <v>50</v>
      </c>
      <c r="C31" s="21" cm="1">
        <f t="array" aca="1" ref="C31" ca="1">INDIRECT("'"&amp;D2&amp;"'!G8")</f>
        <v>7.3920115199999997E-2</v>
      </c>
      <c r="D31" s="21" cm="1">
        <f t="array" aca="1" ref="D31" ca="1">INDIRECT("'"&amp;D2&amp;"'!H8")</f>
        <v>1.2262659760000001E-2</v>
      </c>
      <c r="E31" s="21" cm="1">
        <f t="array" aca="1" ref="E31" ca="1">INDIRECT("'"&amp;D2&amp;"'!I8")</f>
        <v>0</v>
      </c>
      <c r="F31" s="21" cm="1">
        <f t="array" aca="1" ref="F31" ca="1">INDIRECT("'"&amp;D2&amp;"'!J8")</f>
        <v>0</v>
      </c>
    </row>
    <row r="32" spans="1:6" x14ac:dyDescent="0.35">
      <c r="A32" s="149"/>
      <c r="B32" s="18" t="s">
        <v>51</v>
      </c>
      <c r="C32" s="1">
        <f>'Nutrition STONF'!C32</f>
        <v>78</v>
      </c>
      <c r="D32" s="1">
        <f>'Nutrition STONF'!D32</f>
        <v>20</v>
      </c>
      <c r="E32" s="1" t="str">
        <f>'Nutrition STONF'!E32</f>
        <v>NA</v>
      </c>
      <c r="F32" s="1" t="str">
        <f>'Nutrition STONF'!F32</f>
        <v>300 mg</v>
      </c>
    </row>
    <row r="33" spans="1:11" x14ac:dyDescent="0.35">
      <c r="A33" s="149"/>
      <c r="B33" s="18" t="s">
        <v>53</v>
      </c>
      <c r="C33" s="26" t="s">
        <v>52</v>
      </c>
      <c r="D33" s="26" t="s">
        <v>52</v>
      </c>
      <c r="E33" s="26" t="s">
        <v>52</v>
      </c>
      <c r="F33" s="26" t="s">
        <v>52</v>
      </c>
    </row>
    <row r="34" spans="1:11" ht="73.400000000000006" customHeight="1" x14ac:dyDescent="0.35">
      <c r="A34" s="149"/>
      <c r="B34" s="18"/>
      <c r="C34" s="1" t="str">
        <f>'Nutrition STONF'!C34</f>
        <v xml:space="preserve">&lt; 0.5g - express as 0
&lt; 5 g - nearest 0.5 g increment
&gt; 5 g: nearest 1 g increment
</v>
      </c>
      <c r="D34" s="1" t="str">
        <f>'Nutrition STONF'!D34</f>
        <v xml:space="preserve">&lt; 0.5g - express as 0
&lt; 5 g - nearest 0.5 g increment
&gt; 5 g: nearest 1 g increment
</v>
      </c>
      <c r="E34" s="1" t="str">
        <f>'Nutrition STONF'!E34</f>
        <v xml:space="preserve">&lt; 0.5g - express as 0
&lt; 5 g - nearest 0.5 g increment
&gt; 5 g: nearest 1 g increment
</v>
      </c>
      <c r="F34" s="1" t="str">
        <f>'Nutrition STONF'!F34</f>
        <v>&lt; 2mg: express as 0
2-5 mg: "less than 5 mg"
&gt; 5 mg: 5 mg increment</v>
      </c>
    </row>
    <row r="35" spans="1:11" x14ac:dyDescent="0.35">
      <c r="A35" s="149"/>
      <c r="B35" s="18" t="s">
        <v>56</v>
      </c>
      <c r="C35" s="31">
        <v>0</v>
      </c>
      <c r="D35" s="31">
        <v>0</v>
      </c>
      <c r="E35" s="31">
        <v>0</v>
      </c>
      <c r="F35" s="31">
        <v>0</v>
      </c>
    </row>
    <row r="37" spans="1:11" ht="30" customHeight="1" x14ac:dyDescent="0.35">
      <c r="A37" s="149" t="s">
        <v>64</v>
      </c>
      <c r="B37" s="18"/>
      <c r="C37" s="1" t="str">
        <f ca="1">'Nutrition STONF'!C37</f>
        <v>Calories (US Rules)</v>
      </c>
      <c r="D37" s="1" t="str">
        <f>'Nutrition STONF'!D37</f>
        <v>Calories from Fat</v>
      </c>
      <c r="E37" s="1" t="str">
        <f ca="1">'Nutrition STONF'!E37</f>
        <v xml:space="preserve">Sugar </v>
      </c>
      <c r="F37" s="1" t="str">
        <f ca="1">'Nutrition STONF'!F37</f>
        <v>Added Sugars</v>
      </c>
      <c r="G37" s="1" t="str">
        <f ca="1">'Nutrition STONF'!G37</f>
        <v>Sodium</v>
      </c>
    </row>
    <row r="38" spans="1:11" x14ac:dyDescent="0.35">
      <c r="A38" s="149"/>
      <c r="B38" s="18" t="s">
        <v>50</v>
      </c>
      <c r="C38" s="20">
        <f ca="1">C7</f>
        <v>80.997982000640008</v>
      </c>
      <c r="D38" s="20" cm="1">
        <f t="array" aca="1" ref="D38" ca="1">INDIRECT("'"&amp;D2&amp;"'!F8")</f>
        <v>0.35763365632000005</v>
      </c>
      <c r="E38" s="21" cm="1">
        <f t="array" aca="1" ref="E38" ca="1">INDIRECT("'"&amp;D2&amp;"'!N8")</f>
        <v>16.349343166000001</v>
      </c>
      <c r="F38" s="21" cm="1">
        <f t="array" aca="1" ref="F38" ca="1">INDIRECT("'"&amp;D2&amp;"'!O8")</f>
        <v>16.330063086000003</v>
      </c>
      <c r="G38" s="22" cm="1">
        <f t="array" aca="1" ref="G38" ca="1">INDIRECT("'"&amp;D2&amp;"'!R8")</f>
        <v>5.1411641095999991</v>
      </c>
    </row>
    <row r="39" spans="1:11" x14ac:dyDescent="0.35">
      <c r="A39" s="149"/>
      <c r="B39" s="18"/>
      <c r="C39" s="1" t="str">
        <f>'Nutrition STONF'!C39</f>
        <v>NA</v>
      </c>
      <c r="D39" s="1" t="str">
        <f>'Nutrition STONF'!D39</f>
        <v>NA</v>
      </c>
      <c r="E39" s="1" t="str">
        <f>'Nutrition STONF'!E39</f>
        <v>NA</v>
      </c>
      <c r="F39" s="1">
        <f>'Nutrition STONF'!F39</f>
        <v>50</v>
      </c>
      <c r="G39" s="1">
        <f>'Nutrition STONF'!G39</f>
        <v>2300</v>
      </c>
    </row>
    <row r="40" spans="1:11" x14ac:dyDescent="0.35">
      <c r="A40" s="149"/>
      <c r="B40" s="18" t="s">
        <v>53</v>
      </c>
      <c r="C40" s="25" t="s">
        <v>52</v>
      </c>
      <c r="D40" s="25" t="s">
        <v>52</v>
      </c>
      <c r="E40" s="26" t="s">
        <v>52</v>
      </c>
      <c r="F40" s="26">
        <f t="shared" ref="F40:G40" ca="1" si="1">F38/F39</f>
        <v>0.32660126172000004</v>
      </c>
      <c r="G40" s="26">
        <f t="shared" ca="1" si="1"/>
        <v>2.2352887433043475E-3</v>
      </c>
    </row>
    <row r="41" spans="1:11" ht="193.4" customHeight="1" x14ac:dyDescent="0.35">
      <c r="A41" s="149"/>
      <c r="B41" s="18"/>
      <c r="C41" s="1" t="str">
        <f>'Nutrition STONF'!C41</f>
        <v>&lt; 5 cal - express as 0
≤ 50 cal - express to nearest 5 cal increment
&gt; 50 cal - express to nearest 10 cal increment
Insignificant amount is &lt; 5 cal</v>
      </c>
      <c r="D41" s="1" t="str">
        <f>'Nutrition STONF'!D41</f>
        <v>Not required to be declared</v>
      </c>
      <c r="E41" s="1" t="str">
        <f>'Nutrition STONF'!E41</f>
        <v>&lt; 0.5g - express as 0
&lt; 1g - express as "contains less than 1g" or "less than 1g"
≥1g - express to nearest 1g increment
Insignificant amount is &lt; 0.5g</v>
      </c>
      <c r="F41" s="1" t="str">
        <f>'Nutrition STONF'!F41</f>
        <v>&lt; 0.5g - express as 0
&lt; 1g - express as "contains less than 1g" or "less than 1g"
≥1g - express to nearest 1g increment
Insignificant amount is &lt; 0.5g</v>
      </c>
      <c r="G41" s="1" t="str">
        <f>'Nutrition STONF'!G41</f>
        <v>&lt; 5mg - express as 0
5-140mg - express to nearest 5mg increment
&gt; 140mg - express to nearest 10mg increment
Insignificant amount is &lt; 5mg</v>
      </c>
      <c r="K41" s="32"/>
    </row>
    <row r="42" spans="1:11" x14ac:dyDescent="0.35">
      <c r="A42" s="149"/>
      <c r="B42" s="18" t="s">
        <v>56</v>
      </c>
      <c r="C42" s="31" t="s">
        <v>180</v>
      </c>
      <c r="D42" s="31">
        <v>0</v>
      </c>
      <c r="E42" s="30">
        <v>8</v>
      </c>
      <c r="F42" s="31">
        <v>8</v>
      </c>
      <c r="G42" s="31">
        <v>0</v>
      </c>
      <c r="K42" s="33"/>
    </row>
    <row r="43" spans="1:11" x14ac:dyDescent="0.35">
      <c r="A43" s="29"/>
      <c r="D43" s="28"/>
      <c r="K43" s="34"/>
    </row>
    <row r="44" spans="1:11" x14ac:dyDescent="0.35">
      <c r="D44" s="28"/>
      <c r="K44" s="34"/>
    </row>
    <row r="45" spans="1:11" x14ac:dyDescent="0.35">
      <c r="D45" s="28"/>
    </row>
    <row r="46" spans="1:11" x14ac:dyDescent="0.35">
      <c r="D46" s="28"/>
    </row>
  </sheetData>
  <mergeCells count="6">
    <mergeCell ref="A37:A42"/>
    <mergeCell ref="A5:A7"/>
    <mergeCell ref="A9:A14"/>
    <mergeCell ref="A16:A21"/>
    <mergeCell ref="A23:A28"/>
    <mergeCell ref="A30:A35"/>
  </mergeCells>
  <pageMargins left="0.7" right="0.7" top="0.75" bottom="0.75" header="0.3" footer="0.3"/>
  <pageSetup orientation="portrait" r:id="rId1"/>
  <headerFooter>
    <oddHeader>&amp;R&amp;"Calibri"&amp;10&amp;K000000Highly Restricted&amp;1#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7A30F-DD13-41E5-8D25-3219B621319E}">
  <dimension ref="A1:W34"/>
  <sheetViews>
    <sheetView zoomScaleNormal="100" workbookViewId="0">
      <selection activeCell="D17" sqref="D17"/>
    </sheetView>
  </sheetViews>
  <sheetFormatPr defaultRowHeight="14.5" x14ac:dyDescent="0.35"/>
  <cols>
    <col min="1" max="1" width="3" bestFit="1" customWidth="1"/>
    <col min="2" max="2" width="20.1796875" bestFit="1" customWidth="1"/>
    <col min="3" max="3" width="13.1796875" bestFit="1" customWidth="1"/>
    <col min="4" max="4" width="16.453125" bestFit="1" customWidth="1"/>
    <col min="5" max="6" width="12.6328125" customWidth="1"/>
    <col min="7" max="23" width="12.6328125" style="66" customWidth="1"/>
  </cols>
  <sheetData>
    <row r="1" spans="1:23" s="44" customFormat="1" x14ac:dyDescent="0.35">
      <c r="B1" s="45" t="s">
        <v>88</v>
      </c>
      <c r="C1" s="46">
        <v>46078</v>
      </c>
      <c r="D1" s="47" t="s">
        <v>89</v>
      </c>
      <c r="E1" s="45" t="s">
        <v>90</v>
      </c>
      <c r="F1" s="47" t="s">
        <v>91</v>
      </c>
      <c r="G1" s="64" t="s">
        <v>92</v>
      </c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</row>
    <row r="2" spans="1:23" x14ac:dyDescent="0.35">
      <c r="B2" t="s">
        <v>35</v>
      </c>
    </row>
    <row r="3" spans="1:23" x14ac:dyDescent="0.35">
      <c r="B3" s="13" t="s">
        <v>36</v>
      </c>
    </row>
    <row r="4" spans="1:23" x14ac:dyDescent="0.35">
      <c r="B4" t="s">
        <v>37</v>
      </c>
      <c r="D4" s="37"/>
    </row>
    <row r="5" spans="1:23" x14ac:dyDescent="0.35">
      <c r="B5" t="s">
        <v>38</v>
      </c>
      <c r="C5" t="s">
        <v>3</v>
      </c>
      <c r="D5" s="13" t="s">
        <v>146</v>
      </c>
      <c r="E5" s="37"/>
    </row>
    <row r="6" spans="1:23" ht="15" thickBot="1" x14ac:dyDescent="0.4">
      <c r="B6" s="13" t="s">
        <v>93</v>
      </c>
      <c r="C6" s="13">
        <v>5.4</v>
      </c>
      <c r="D6">
        <f>C6*2</f>
        <v>10.8</v>
      </c>
    </row>
    <row r="7" spans="1:23" ht="15" thickBot="1" x14ac:dyDescent="0.4">
      <c r="B7" s="62" t="s">
        <v>114</v>
      </c>
      <c r="C7" s="63">
        <f>C6</f>
        <v>5.4</v>
      </c>
      <c r="E7" t="s">
        <v>113</v>
      </c>
    </row>
    <row r="8" spans="1:23" ht="27" customHeight="1" x14ac:dyDescent="0.35">
      <c r="B8" s="10" t="s">
        <v>39</v>
      </c>
      <c r="C8" s="11">
        <f>SUM(C14:C34)</f>
        <v>1</v>
      </c>
      <c r="D8" s="16">
        <f>SUM(D14:D21)</f>
        <v>5.4</v>
      </c>
      <c r="E8" s="76">
        <f>SUM(E14:E34)</f>
        <v>19.560742919999999</v>
      </c>
      <c r="F8" s="76">
        <f>SUM(F14:F34)</f>
        <v>0.14262340679999999</v>
      </c>
      <c r="G8" s="67">
        <f t="shared" ref="G8:W8" si="0">SUM(G14:G34)</f>
        <v>3.3329393999999998E-2</v>
      </c>
      <c r="H8" s="67">
        <f t="shared" si="0"/>
        <v>5.4779004000000001E-3</v>
      </c>
      <c r="I8" s="67">
        <f t="shared" si="0"/>
        <v>0</v>
      </c>
      <c r="J8" s="68">
        <f>SUM(J14:J34)</f>
        <v>0</v>
      </c>
      <c r="K8" s="67">
        <f t="shared" si="0"/>
        <v>4.8605726699999998</v>
      </c>
      <c r="L8" s="67">
        <f t="shared" si="0"/>
        <v>2.7653497199999997</v>
      </c>
      <c r="M8" s="67">
        <f t="shared" si="0"/>
        <v>2.3264577000000002</v>
      </c>
      <c r="N8" s="67">
        <f t="shared" si="0"/>
        <v>6.9223140000000002E-2</v>
      </c>
      <c r="O8" s="67">
        <f>SUM(O14:O34)</f>
        <v>0</v>
      </c>
      <c r="P8" s="73">
        <f t="shared" si="0"/>
        <v>0.26681292000000001</v>
      </c>
      <c r="Q8" s="73">
        <f t="shared" si="0"/>
        <v>27.951141419999999</v>
      </c>
      <c r="R8" s="73">
        <f t="shared" si="0"/>
        <v>5.1474374099999993</v>
      </c>
      <c r="S8" s="73">
        <f t="shared" si="0"/>
        <v>5.9692899779999991</v>
      </c>
      <c r="T8" s="69">
        <f t="shared" si="0"/>
        <v>0</v>
      </c>
      <c r="U8" s="68">
        <f t="shared" si="0"/>
        <v>0</v>
      </c>
      <c r="V8" s="70">
        <f t="shared" si="0"/>
        <v>0</v>
      </c>
      <c r="W8" s="67">
        <f t="shared" si="0"/>
        <v>7.4982299399999994E-2</v>
      </c>
    </row>
    <row r="9" spans="1:23" x14ac:dyDescent="0.35">
      <c r="E9" s="148" t="s">
        <v>40</v>
      </c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</row>
    <row r="10" spans="1:23" x14ac:dyDescent="0.35">
      <c r="B10" t="s">
        <v>112</v>
      </c>
      <c r="C10" s="37">
        <v>2</v>
      </c>
      <c r="D10" s="61">
        <f>C6*2</f>
        <v>10.8</v>
      </c>
      <c r="E10" s="76">
        <f>E8*$C$10</f>
        <v>39.121485839999998</v>
      </c>
      <c r="F10" s="76">
        <f t="shared" ref="F10:W10" si="1">F8*$C$10</f>
        <v>0.28524681359999998</v>
      </c>
      <c r="G10" s="67">
        <f t="shared" si="1"/>
        <v>6.6658787999999997E-2</v>
      </c>
      <c r="H10" s="67">
        <f t="shared" si="1"/>
        <v>1.09558008E-2</v>
      </c>
      <c r="I10" s="67">
        <f t="shared" si="1"/>
        <v>0</v>
      </c>
      <c r="J10" s="68">
        <f t="shared" si="1"/>
        <v>0</v>
      </c>
      <c r="K10" s="67">
        <f t="shared" si="1"/>
        <v>9.7211453399999996</v>
      </c>
      <c r="L10" s="67">
        <f t="shared" si="1"/>
        <v>5.5306994399999994</v>
      </c>
      <c r="M10" s="67">
        <f t="shared" si="1"/>
        <v>4.6529154000000004</v>
      </c>
      <c r="N10" s="67">
        <f t="shared" si="1"/>
        <v>0.13844628</v>
      </c>
      <c r="O10" s="67">
        <f t="shared" si="1"/>
        <v>0</v>
      </c>
      <c r="P10" s="73">
        <f t="shared" si="1"/>
        <v>0.53362584000000002</v>
      </c>
      <c r="Q10" s="73">
        <f t="shared" si="1"/>
        <v>55.902282839999998</v>
      </c>
      <c r="R10" s="73">
        <f t="shared" si="1"/>
        <v>10.294874819999999</v>
      </c>
      <c r="S10" s="73">
        <f t="shared" si="1"/>
        <v>11.938579955999998</v>
      </c>
      <c r="T10" s="69">
        <f t="shared" si="1"/>
        <v>0</v>
      </c>
      <c r="U10" s="68">
        <f t="shared" si="1"/>
        <v>0</v>
      </c>
      <c r="V10" s="70">
        <f t="shared" si="1"/>
        <v>0</v>
      </c>
      <c r="W10" s="67">
        <f t="shared" si="1"/>
        <v>0.14996459879999999</v>
      </c>
    </row>
    <row r="11" spans="1:23" x14ac:dyDescent="0.35">
      <c r="D11" s="38"/>
    </row>
    <row r="12" spans="1:23" x14ac:dyDescent="0.35">
      <c r="C12" s="100">
        <f>SUM(C14:C34)</f>
        <v>1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</row>
    <row r="13" spans="1:23" s="9" customFormat="1" ht="29" x14ac:dyDescent="0.35">
      <c r="B13" s="9" t="s">
        <v>0</v>
      </c>
      <c r="C13" s="9" t="s">
        <v>41</v>
      </c>
      <c r="D13" s="9" t="s">
        <v>42</v>
      </c>
      <c r="E13" s="9" t="s">
        <v>43</v>
      </c>
      <c r="F13" s="9" t="s">
        <v>5</v>
      </c>
      <c r="G13" s="71" t="s">
        <v>6</v>
      </c>
      <c r="H13" s="71" t="s">
        <v>7</v>
      </c>
      <c r="I13" s="71" t="s">
        <v>8</v>
      </c>
      <c r="J13" s="71" t="s">
        <v>9</v>
      </c>
      <c r="K13" s="71" t="s">
        <v>10</v>
      </c>
      <c r="L13" s="71" t="s">
        <v>11</v>
      </c>
      <c r="M13" s="71" t="s">
        <v>12</v>
      </c>
      <c r="N13" s="71" t="s">
        <v>13</v>
      </c>
      <c r="O13" s="71" t="s">
        <v>14</v>
      </c>
      <c r="P13" s="71" t="s">
        <v>15</v>
      </c>
      <c r="Q13" s="71" t="s">
        <v>16</v>
      </c>
      <c r="R13" s="71" t="s">
        <v>17</v>
      </c>
      <c r="S13" s="71" t="s">
        <v>18</v>
      </c>
      <c r="T13" s="71" t="s">
        <v>19</v>
      </c>
      <c r="U13" s="71" t="s">
        <v>20</v>
      </c>
      <c r="V13" s="71" t="s">
        <v>21</v>
      </c>
      <c r="W13" s="71" t="s">
        <v>22</v>
      </c>
    </row>
    <row r="14" spans="1:23" x14ac:dyDescent="0.35">
      <c r="A14">
        <v>1</v>
      </c>
      <c r="B14" s="14" t="s">
        <v>23</v>
      </c>
      <c r="C14" s="12">
        <v>0.61109999999999998</v>
      </c>
      <c r="D14" s="17">
        <f>C14*$C$7</f>
        <v>3.2999399999999999</v>
      </c>
      <c r="E14" s="76">
        <f>VLOOKUP($B14,Ingredients!$A:$W,5,FALSE)*$D14/100</f>
        <v>11.906183519999999</v>
      </c>
      <c r="F14" s="76">
        <f>VLOOKUP($B14,Ingredients!$A:$W,6,FALSE)*$D14/100</f>
        <v>0.14262340679999999</v>
      </c>
      <c r="G14" s="67">
        <f>VLOOKUP($B14,Ingredients!$A:$W,7,FALSE)*$D14/100</f>
        <v>3.3329393999999998E-2</v>
      </c>
      <c r="H14" s="67">
        <f>VLOOKUP($B14,Ingredients!$A:$W,8,FALSE)*$D14/100</f>
        <v>5.4779004000000001E-3</v>
      </c>
      <c r="I14" s="67">
        <f>VLOOKUP($B14,Ingredients!$A:$W,9,FALSE)*$D14/100</f>
        <v>0</v>
      </c>
      <c r="J14" s="68">
        <f>VLOOKUP($B14,Ingredients!$A:$W,10,FALSE)*$D14/100</f>
        <v>0</v>
      </c>
      <c r="K14" s="67">
        <f>VLOOKUP($B14,Ingredients!$A:$W,11,FALSE)*$D14/100</f>
        <v>2.8709478000000002</v>
      </c>
      <c r="L14" s="67">
        <f>VLOOKUP($B14,Ingredients!$A:$W,12,FALSE)*$D14/100</f>
        <v>2.7653497199999997</v>
      </c>
      <c r="M14" s="67">
        <f>VLOOKUP($B14,Ingredients!$A:$W,13,FALSE)*$D14/100</f>
        <v>2.3264577000000002</v>
      </c>
      <c r="N14" s="67">
        <f>VLOOKUP($B14,Ingredients!$A:$W,14,FALSE)*$D14/100</f>
        <v>3.2999399999999999E-3</v>
      </c>
      <c r="O14" s="67">
        <f>VLOOKUP($B14,Ingredients!$A:$W,15,FALSE)*$D14/100</f>
        <v>0</v>
      </c>
      <c r="P14" s="73">
        <f>VLOOKUP($B14,Ingredients!$A:$W,16,FALSE)*$D14/100</f>
        <v>0.25739531999999998</v>
      </c>
      <c r="Q14" s="73">
        <f>VLOOKUP($B14,Ingredients!$A:$W,17,FALSE)*$D14/100</f>
        <v>27.950491799999998</v>
      </c>
      <c r="R14" s="73">
        <f>VLOOKUP($B14,Ingredients!$A:$W,18,FALSE)*$D14/100</f>
        <v>2.3215077899999996</v>
      </c>
      <c r="S14" s="73">
        <f>VLOOKUP($B14,Ingredients!$A:$W,19,FALSE)*$D14/100</f>
        <v>5.7805048979999993</v>
      </c>
      <c r="T14" s="69">
        <f>VLOOKUP($B14,Ingredients!$A:$W,20,FALSE)*$D14/100</f>
        <v>0</v>
      </c>
      <c r="U14" s="68">
        <f>VLOOKUP($B14,Ingredients!$A:$W,21,FALSE)*$D14/100</f>
        <v>0</v>
      </c>
      <c r="V14" s="70">
        <f>VLOOKUP($B14,Ingredients!$A:$W,22,FALSE)*$D14/100</f>
        <v>0</v>
      </c>
      <c r="W14" s="67">
        <f>VLOOKUP($B14,Ingredients!$A:$W,23,FALSE)*$D14/100</f>
        <v>6.9331739399999995E-2</v>
      </c>
    </row>
    <row r="15" spans="1:23" x14ac:dyDescent="0.35">
      <c r="A15">
        <v>2</v>
      </c>
      <c r="B15" s="14" t="s">
        <v>24</v>
      </c>
      <c r="C15" s="12">
        <v>0.3488</v>
      </c>
      <c r="D15" s="17">
        <f>C15*$C$7</f>
        <v>1.8835200000000001</v>
      </c>
      <c r="E15" s="76">
        <f>VLOOKUP($B15,Ingredients!$A:$W,5,FALSE)*$D15/100</f>
        <v>7.1197055999999996</v>
      </c>
      <c r="F15" s="76">
        <f>VLOOKUP($B15,Ingredients!$A:$W,6,FALSE)*$D15/100</f>
        <v>0</v>
      </c>
      <c r="G15" s="67">
        <f>VLOOKUP($B15,Ingredients!$A:$W,7,FALSE)*$D15/100</f>
        <v>0</v>
      </c>
      <c r="H15" s="67">
        <f>VLOOKUP($B15,Ingredients!$A:$W,8,FALSE)*$D15/100</f>
        <v>0</v>
      </c>
      <c r="I15" s="67">
        <f>VLOOKUP($B15,Ingredients!$A:$W,9,FALSE)*$D15/100</f>
        <v>0</v>
      </c>
      <c r="J15" s="68">
        <f>VLOOKUP($B15,Ingredients!$A:$W,10,FALSE)*$D15/100</f>
        <v>0</v>
      </c>
      <c r="K15" s="67">
        <f>VLOOKUP($B15,Ingredients!$A:$W,11,FALSE)*$D15/100</f>
        <v>1.7742758400000003</v>
      </c>
      <c r="L15" s="67">
        <f>VLOOKUP($B15,Ingredients!$A:$W,12,FALSE)*$D15/100</f>
        <v>0</v>
      </c>
      <c r="M15" s="67">
        <f>VLOOKUP($B15,Ingredients!$A:$W,13,FALSE)*$D15/100</f>
        <v>0</v>
      </c>
      <c r="N15" s="67">
        <f>VLOOKUP($B15,Ingredients!$A:$W,14,FALSE)*$D15/100</f>
        <v>6.5923200000000001E-2</v>
      </c>
      <c r="O15" s="67">
        <f>VLOOKUP($B15,Ingredients!$A:$W,15,FALSE)*$D15/100</f>
        <v>0</v>
      </c>
      <c r="P15" s="73">
        <f>VLOOKUP($B15,Ingredients!$A:$W,16,FALSE)*$D15/100</f>
        <v>9.4175999999999999E-3</v>
      </c>
      <c r="Q15" s="73">
        <f>VLOOKUP($B15,Ingredients!$A:$W,17,FALSE)*$D15/100</f>
        <v>0</v>
      </c>
      <c r="R15" s="73">
        <f>VLOOKUP($B15,Ingredients!$A:$W,18,FALSE)*$D15/100</f>
        <v>2.8252800000000002</v>
      </c>
      <c r="S15" s="73">
        <f>VLOOKUP($B15,Ingredients!$A:$W,19,FALSE)*$D15/100</f>
        <v>0.18835199999999999</v>
      </c>
      <c r="T15" s="69">
        <f>VLOOKUP($B15,Ingredients!$A:$W,20,FALSE)*$D15/100</f>
        <v>0</v>
      </c>
      <c r="U15" s="68">
        <f>VLOOKUP($B15,Ingredients!$A:$W,21,FALSE)*$D15/100</f>
        <v>0</v>
      </c>
      <c r="V15" s="70">
        <f>VLOOKUP($B15,Ingredients!$A:$W,22,FALSE)*$D15/100</f>
        <v>0</v>
      </c>
      <c r="W15" s="67">
        <f>VLOOKUP($B15,Ingredients!$A:$W,23,FALSE)*$D15/100</f>
        <v>5.6505599999999998E-3</v>
      </c>
    </row>
    <row r="16" spans="1:23" x14ac:dyDescent="0.35">
      <c r="A16">
        <v>3</v>
      </c>
      <c r="B16" s="14" t="s">
        <v>26</v>
      </c>
      <c r="C16" s="12">
        <v>4.0099999999999997E-2</v>
      </c>
      <c r="D16" s="17">
        <f>C16*$C$7</f>
        <v>0.21654000000000001</v>
      </c>
      <c r="E16" s="76">
        <f>VLOOKUP($B16,Ingredients!$A:$W,5,FALSE)*$D16/100</f>
        <v>0.53485380000000005</v>
      </c>
      <c r="F16" s="76">
        <f>VLOOKUP($B16,Ingredients!$A:$W,6,FALSE)*$D16/100</f>
        <v>0</v>
      </c>
      <c r="G16" s="67">
        <f>VLOOKUP($B16,Ingredients!$A:$W,7,FALSE)*$D16/100</f>
        <v>0</v>
      </c>
      <c r="H16" s="67">
        <f>VLOOKUP($B16,Ingredients!$A:$W,8,FALSE)*$D16/100</f>
        <v>0</v>
      </c>
      <c r="I16" s="67">
        <f>VLOOKUP($B16,Ingredients!$A:$W,9,FALSE)*$D16/100</f>
        <v>0</v>
      </c>
      <c r="J16" s="68">
        <f>VLOOKUP($B16,Ingredients!$A:$W,10,FALSE)*$D16/100</f>
        <v>0</v>
      </c>
      <c r="K16" s="67">
        <f>VLOOKUP($B16,Ingredients!$A:$W,11,FALSE)*$D16/100</f>
        <v>0.21534903</v>
      </c>
      <c r="L16" s="67">
        <f>VLOOKUP($B16,Ingredients!$A:$W,12,FALSE)*$D16/100</f>
        <v>0</v>
      </c>
      <c r="M16" s="67">
        <f>VLOOKUP($B16,Ingredients!$A:$W,13,FALSE)*$D16/100</f>
        <v>0</v>
      </c>
      <c r="N16" s="67">
        <f>VLOOKUP($B16,Ingredients!$A:$W,14,FALSE)*$D16/100</f>
        <v>0</v>
      </c>
      <c r="O16" s="67">
        <f>VLOOKUP($B16,Ingredients!$A:$W,15,FALSE)*$D16/100</f>
        <v>0</v>
      </c>
      <c r="P16" s="73">
        <f>VLOOKUP($B16,Ingredients!$A:$W,16,FALSE)*$D16/100</f>
        <v>0</v>
      </c>
      <c r="Q16" s="73">
        <f>VLOOKUP($B16,Ingredients!$A:$W,17,FALSE)*$D16/100</f>
        <v>6.4962000000000006E-4</v>
      </c>
      <c r="R16" s="73">
        <f>VLOOKUP($B16,Ingredients!$A:$W,18,FALSE)*$D16/100</f>
        <v>6.4962000000000006E-4</v>
      </c>
      <c r="S16" s="73">
        <f>VLOOKUP($B16,Ingredients!$A:$W,19,FALSE)*$D16/100</f>
        <v>4.3308000000000008E-4</v>
      </c>
      <c r="T16" s="69">
        <f>VLOOKUP($B16,Ingredients!$A:$W,20,FALSE)*$D16/100</f>
        <v>0</v>
      </c>
      <c r="U16" s="68">
        <f>VLOOKUP($B16,Ingredients!$A:$W,21,FALSE)*$D16/100</f>
        <v>0</v>
      </c>
      <c r="V16" s="70">
        <f>VLOOKUP($B16,Ingredients!$A:$W,22,FALSE)*$D16/100</f>
        <v>0</v>
      </c>
      <c r="W16" s="67">
        <f>VLOOKUP($B16,Ingredients!$A:$W,23,FALSE)*$D16/100</f>
        <v>0</v>
      </c>
    </row>
    <row r="17" spans="1:23" x14ac:dyDescent="0.35">
      <c r="A17">
        <v>4</v>
      </c>
      <c r="B17" s="14"/>
      <c r="C17" s="35"/>
      <c r="D17" s="17"/>
      <c r="E17" s="76"/>
      <c r="F17" s="76"/>
      <c r="G17" s="67"/>
      <c r="H17" s="67"/>
      <c r="I17" s="67"/>
      <c r="J17" s="68"/>
      <c r="K17" s="67"/>
      <c r="L17" s="67"/>
      <c r="M17" s="67"/>
      <c r="N17" s="67"/>
      <c r="O17" s="67"/>
      <c r="P17" s="73"/>
      <c r="Q17" s="73"/>
      <c r="R17" s="73"/>
      <c r="S17" s="73"/>
      <c r="T17" s="69"/>
      <c r="U17" s="68"/>
      <c r="V17" s="70"/>
      <c r="W17" s="67"/>
    </row>
    <row r="18" spans="1:23" ht="16.399999999999999" customHeight="1" x14ac:dyDescent="0.35">
      <c r="A18">
        <v>5</v>
      </c>
      <c r="B18" s="14"/>
      <c r="C18" s="35"/>
      <c r="D18" s="17"/>
      <c r="E18" s="76"/>
      <c r="F18" s="76"/>
      <c r="G18" s="67"/>
      <c r="H18" s="67"/>
      <c r="I18" s="67"/>
      <c r="J18" s="68"/>
      <c r="K18" s="67"/>
      <c r="L18" s="67"/>
      <c r="M18" s="67"/>
      <c r="N18" s="67"/>
      <c r="O18" s="67"/>
      <c r="P18" s="73"/>
      <c r="Q18" s="73"/>
      <c r="R18" s="73"/>
      <c r="S18" s="73"/>
      <c r="T18" s="69"/>
      <c r="U18" s="68"/>
      <c r="V18" s="70"/>
      <c r="W18" s="67"/>
    </row>
    <row r="19" spans="1:23" x14ac:dyDescent="0.35">
      <c r="A19">
        <v>6</v>
      </c>
      <c r="B19" s="14"/>
      <c r="C19" s="35"/>
      <c r="D19" s="17"/>
      <c r="E19" s="76"/>
      <c r="F19" s="76"/>
      <c r="G19" s="67"/>
      <c r="H19" s="67"/>
      <c r="I19" s="67"/>
      <c r="J19" s="68"/>
      <c r="K19" s="67"/>
      <c r="L19" s="67"/>
      <c r="M19" s="67"/>
      <c r="N19" s="67"/>
      <c r="O19" s="67"/>
      <c r="P19" s="73"/>
      <c r="Q19" s="73"/>
      <c r="R19" s="73"/>
      <c r="S19" s="73"/>
      <c r="T19" s="69"/>
      <c r="U19" s="68"/>
      <c r="V19" s="70"/>
      <c r="W19" s="67"/>
    </row>
    <row r="20" spans="1:23" x14ac:dyDescent="0.35">
      <c r="A20">
        <v>7</v>
      </c>
      <c r="B20" s="14"/>
      <c r="C20" s="35"/>
      <c r="D20" s="17"/>
      <c r="E20" s="76"/>
      <c r="F20" s="76"/>
      <c r="G20" s="67"/>
      <c r="H20" s="67"/>
      <c r="I20" s="67"/>
      <c r="J20" s="68"/>
      <c r="K20" s="67"/>
      <c r="L20" s="67"/>
      <c r="M20" s="67"/>
      <c r="N20" s="67"/>
      <c r="O20" s="67"/>
      <c r="P20" s="73"/>
      <c r="Q20" s="73"/>
      <c r="R20" s="73"/>
      <c r="S20" s="73"/>
      <c r="T20" s="69"/>
      <c r="U20" s="68"/>
      <c r="V20" s="70"/>
      <c r="W20" s="67"/>
    </row>
    <row r="21" spans="1:23" x14ac:dyDescent="0.35">
      <c r="A21">
        <v>8</v>
      </c>
      <c r="B21" s="14"/>
      <c r="C21" s="35"/>
      <c r="D21" s="17"/>
      <c r="E21" s="75"/>
      <c r="F21" s="75"/>
      <c r="G21" s="67"/>
      <c r="H21" s="67"/>
      <c r="I21" s="67"/>
      <c r="J21" s="68"/>
      <c r="K21" s="67"/>
      <c r="L21" s="67"/>
      <c r="M21" s="67"/>
      <c r="N21" s="67"/>
      <c r="O21" s="67"/>
      <c r="P21" s="73"/>
      <c r="Q21" s="73"/>
      <c r="R21" s="73"/>
      <c r="S21" s="73"/>
      <c r="T21" s="69"/>
      <c r="U21" s="68"/>
      <c r="V21" s="70"/>
      <c r="W21" s="67"/>
    </row>
    <row r="22" spans="1:23" x14ac:dyDescent="0.35">
      <c r="A22">
        <v>9</v>
      </c>
      <c r="B22" s="14"/>
      <c r="C22" s="35"/>
      <c r="D22" s="17"/>
      <c r="E22" s="75"/>
      <c r="F22" s="75"/>
      <c r="G22" s="67"/>
      <c r="H22" s="67"/>
      <c r="I22" s="67"/>
      <c r="J22" s="68"/>
      <c r="K22" s="67"/>
      <c r="L22" s="67"/>
      <c r="M22" s="67"/>
      <c r="N22" s="67"/>
      <c r="O22" s="67"/>
      <c r="P22" s="73"/>
      <c r="Q22" s="73"/>
      <c r="R22" s="73"/>
      <c r="S22" s="73"/>
      <c r="T22" s="69"/>
      <c r="U22" s="68"/>
      <c r="V22" s="70"/>
      <c r="W22" s="67"/>
    </row>
    <row r="23" spans="1:23" x14ac:dyDescent="0.35">
      <c r="A23">
        <v>10</v>
      </c>
      <c r="B23" s="14"/>
      <c r="C23" s="13"/>
      <c r="D23" s="17"/>
      <c r="E23" s="75"/>
      <c r="F23" s="75"/>
      <c r="G23" s="67"/>
      <c r="H23" s="67"/>
      <c r="I23" s="67"/>
      <c r="J23" s="68"/>
      <c r="K23" s="67"/>
      <c r="L23" s="67"/>
      <c r="M23" s="67"/>
      <c r="N23" s="67"/>
      <c r="O23" s="67"/>
      <c r="P23" s="73"/>
      <c r="Q23" s="73"/>
      <c r="R23" s="73"/>
      <c r="S23" s="73"/>
      <c r="T23" s="69"/>
      <c r="U23" s="68"/>
      <c r="V23" s="70"/>
      <c r="W23" s="67"/>
    </row>
    <row r="24" spans="1:23" x14ac:dyDescent="0.35">
      <c r="A24">
        <v>11</v>
      </c>
      <c r="B24" s="14"/>
      <c r="C24" s="13"/>
      <c r="D24" s="17"/>
      <c r="E24" s="75"/>
      <c r="F24" s="75"/>
      <c r="G24" s="67"/>
      <c r="H24" s="67"/>
      <c r="I24" s="67"/>
      <c r="J24" s="68"/>
      <c r="K24" s="67"/>
      <c r="L24" s="67"/>
      <c r="M24" s="67"/>
      <c r="N24" s="67"/>
      <c r="O24" s="67"/>
      <c r="P24" s="73"/>
      <c r="Q24" s="73"/>
      <c r="R24" s="73"/>
      <c r="S24" s="73"/>
      <c r="T24" s="69"/>
      <c r="U24" s="68"/>
      <c r="V24" s="70"/>
      <c r="W24" s="67"/>
    </row>
    <row r="25" spans="1:23" x14ac:dyDescent="0.35">
      <c r="A25">
        <v>12</v>
      </c>
      <c r="B25" s="14"/>
      <c r="C25" s="13"/>
      <c r="D25" s="17"/>
      <c r="E25" s="75"/>
      <c r="F25" s="75"/>
      <c r="G25" s="67"/>
      <c r="H25" s="67"/>
      <c r="I25" s="67"/>
      <c r="J25" s="68"/>
      <c r="K25" s="67"/>
      <c r="L25" s="67"/>
      <c r="M25" s="67"/>
      <c r="N25" s="67"/>
      <c r="O25" s="67"/>
      <c r="P25" s="73"/>
      <c r="Q25" s="73"/>
      <c r="R25" s="73"/>
      <c r="S25" s="73"/>
      <c r="T25" s="69"/>
      <c r="U25" s="68"/>
      <c r="V25" s="70"/>
      <c r="W25" s="67"/>
    </row>
    <row r="26" spans="1:23" x14ac:dyDescent="0.35">
      <c r="A26">
        <v>13</v>
      </c>
      <c r="B26" s="14"/>
      <c r="C26" s="13"/>
      <c r="D26" s="17"/>
      <c r="E26" s="75"/>
      <c r="F26" s="75"/>
      <c r="G26" s="67"/>
      <c r="H26" s="67"/>
      <c r="I26" s="67"/>
      <c r="J26" s="68"/>
      <c r="K26" s="67"/>
      <c r="L26" s="67"/>
      <c r="M26" s="67"/>
      <c r="N26" s="67"/>
      <c r="O26" s="67"/>
      <c r="P26" s="73"/>
      <c r="Q26" s="73"/>
      <c r="R26" s="73"/>
      <c r="S26" s="73"/>
      <c r="T26" s="69"/>
      <c r="U26" s="68"/>
      <c r="V26" s="70"/>
      <c r="W26" s="67"/>
    </row>
    <row r="27" spans="1:23" x14ac:dyDescent="0.35">
      <c r="A27">
        <v>14</v>
      </c>
      <c r="B27" s="14"/>
      <c r="C27" s="13"/>
      <c r="D27" s="17"/>
      <c r="E27" s="75"/>
      <c r="F27" s="75"/>
      <c r="G27" s="67"/>
      <c r="H27" s="67"/>
      <c r="I27" s="67"/>
      <c r="J27" s="68"/>
      <c r="K27" s="67"/>
      <c r="L27" s="67"/>
      <c r="M27" s="67"/>
      <c r="N27" s="67"/>
      <c r="O27" s="67"/>
      <c r="P27" s="73"/>
      <c r="Q27" s="73"/>
      <c r="R27" s="73"/>
      <c r="S27" s="73"/>
      <c r="T27" s="69"/>
      <c r="U27" s="68"/>
      <c r="V27" s="70"/>
      <c r="W27" s="67"/>
    </row>
    <row r="28" spans="1:23" x14ac:dyDescent="0.35">
      <c r="A28">
        <v>15</v>
      </c>
      <c r="B28" s="14"/>
      <c r="C28" s="13"/>
      <c r="D28" s="17"/>
      <c r="E28" s="75"/>
      <c r="F28" s="75"/>
      <c r="G28" s="67"/>
      <c r="H28" s="67"/>
      <c r="I28" s="67"/>
      <c r="J28" s="68"/>
      <c r="K28" s="67"/>
      <c r="L28" s="67"/>
      <c r="M28" s="67"/>
      <c r="N28" s="67"/>
      <c r="O28" s="67"/>
      <c r="P28" s="73"/>
      <c r="Q28" s="73"/>
      <c r="R28" s="73"/>
      <c r="S28" s="73"/>
      <c r="T28" s="69"/>
      <c r="U28" s="68"/>
      <c r="V28" s="70"/>
      <c r="W28" s="67"/>
    </row>
    <row r="29" spans="1:23" x14ac:dyDescent="0.35">
      <c r="A29">
        <v>16</v>
      </c>
      <c r="B29" s="14"/>
      <c r="C29" s="13"/>
      <c r="D29" s="17"/>
      <c r="E29" s="15"/>
      <c r="F29" s="15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</row>
    <row r="30" spans="1:23" x14ac:dyDescent="0.35">
      <c r="A30">
        <v>17</v>
      </c>
      <c r="B30" s="14"/>
      <c r="C30" s="13"/>
      <c r="D30" s="17"/>
      <c r="E30" s="15"/>
      <c r="F30" s="15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</row>
    <row r="31" spans="1:23" x14ac:dyDescent="0.35">
      <c r="A31">
        <v>18</v>
      </c>
      <c r="B31" s="14"/>
      <c r="C31" s="13"/>
      <c r="D31" s="17"/>
      <c r="E31" s="15"/>
      <c r="F31" s="15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</row>
    <row r="32" spans="1:23" x14ac:dyDescent="0.35">
      <c r="A32">
        <v>19</v>
      </c>
      <c r="B32" s="14"/>
      <c r="C32" s="13"/>
      <c r="D32" s="17"/>
      <c r="E32" s="15"/>
      <c r="F32" s="15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</row>
    <row r="33" spans="1:23" x14ac:dyDescent="0.35">
      <c r="A33">
        <v>20</v>
      </c>
      <c r="B33" s="14"/>
      <c r="C33" s="13"/>
      <c r="D33" s="17"/>
      <c r="E33" s="15"/>
      <c r="F33" s="15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</row>
    <row r="34" spans="1:23" x14ac:dyDescent="0.35">
      <c r="A34">
        <v>21</v>
      </c>
      <c r="B34" s="14"/>
      <c r="C34" s="13"/>
      <c r="D34" s="17"/>
      <c r="E34" s="15"/>
      <c r="F34" s="15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</row>
  </sheetData>
  <mergeCells count="1">
    <mergeCell ref="E9:W9"/>
  </mergeCells>
  <pageMargins left="0.7" right="0.7" top="0.75" bottom="0.75" header="0.3" footer="0.3"/>
  <pageSetup orientation="portrait" r:id="rId1"/>
  <headerFooter>
    <oddHeader>&amp;R&amp;"Calibri"&amp;10&amp;K000000Highly Restricted&amp;1#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F88465-830B-40E0-96B3-C182C8AB263C}">
          <x14:formula1>
            <xm:f>Ingredients!$A$3:$A$1048576</xm:f>
          </x14:formula1>
          <xm:sqref>B14:B34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77515-7710-4F17-B5A4-0D635C97AE3A}">
  <dimension ref="A1:K71"/>
  <sheetViews>
    <sheetView topLeftCell="A20" zoomScaleNormal="100" workbookViewId="0">
      <selection activeCell="E27" sqref="E27"/>
    </sheetView>
  </sheetViews>
  <sheetFormatPr defaultColWidth="9.1796875" defaultRowHeight="14.5" x14ac:dyDescent="0.35"/>
  <cols>
    <col min="1" max="1" width="17.453125" bestFit="1" customWidth="1"/>
    <col min="2" max="2" width="8.81640625" bestFit="1" customWidth="1"/>
    <col min="3" max="3" width="30.54296875" bestFit="1" customWidth="1"/>
    <col min="4" max="4" width="33" customWidth="1"/>
    <col min="5" max="5" width="31.54296875" bestFit="1" customWidth="1"/>
    <col min="6" max="6" width="26.453125" customWidth="1"/>
    <col min="7" max="7" width="27.1796875" customWidth="1"/>
    <col min="8" max="8" width="23.54296875" customWidth="1"/>
    <col min="9" max="9" width="6.81640625" bestFit="1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.81640625" bestFit="1" customWidth="1"/>
    <col min="14" max="14" width="8.1796875" bestFit="1" customWidth="1"/>
    <col min="15" max="15" width="9.453125" bestFit="1" customWidth="1"/>
    <col min="16" max="16" width="8.1796875" bestFit="1" customWidth="1"/>
    <col min="17" max="17" width="7.54296875" bestFit="1" customWidth="1"/>
  </cols>
  <sheetData>
    <row r="1" spans="1:9" x14ac:dyDescent="0.35">
      <c r="A1" s="13" t="s">
        <v>36</v>
      </c>
    </row>
    <row r="2" spans="1:9" x14ac:dyDescent="0.35">
      <c r="A2" t="s">
        <v>94</v>
      </c>
      <c r="B2" s="13" t="s">
        <v>146</v>
      </c>
      <c r="D2" t="str">
        <f>A2&amp;" "&amp; B2</f>
        <v>Formulation STR</v>
      </c>
      <c r="G2" cm="1">
        <f t="array" aca="1" ref="G2" ca="1">INDIRECT("'"&amp;D2&amp;"'!C7")</f>
        <v>5.4</v>
      </c>
      <c r="H2" t="s">
        <v>46</v>
      </c>
      <c r="I2" t="s">
        <v>99</v>
      </c>
    </row>
    <row r="3" spans="1:9" x14ac:dyDescent="0.35">
      <c r="A3" t="str">
        <f>'Formulation STOF2'!B6</f>
        <v>Smooth Texture Sugar Free Orange Natural Dyes</v>
      </c>
      <c r="D3" t="s">
        <v>44</v>
      </c>
      <c r="E3" t="s">
        <v>45</v>
      </c>
      <c r="G3" s="27" cm="1">
        <f t="array" aca="1" ref="G3" ca="1">INDIRECT("'"&amp;D2&amp;"'!D6")</f>
        <v>10.8</v>
      </c>
      <c r="H3" t="s">
        <v>46</v>
      </c>
      <c r="I3" t="s">
        <v>100</v>
      </c>
    </row>
    <row r="5" spans="1:9" ht="15.5" x14ac:dyDescent="0.35">
      <c r="A5" s="146" t="s">
        <v>104</v>
      </c>
      <c r="B5" t="s">
        <v>101</v>
      </c>
      <c r="C5" s="18">
        <f ca="1">(4*F24)+(4*C10)+(9*C31)</f>
        <v>20.042184423599998</v>
      </c>
      <c r="D5" s="50" t="s">
        <v>95</v>
      </c>
      <c r="E5" s="74" t="s">
        <v>96</v>
      </c>
      <c r="F5" s="74" t="s">
        <v>98</v>
      </c>
    </row>
    <row r="6" spans="1:9" ht="15.5" x14ac:dyDescent="0.35">
      <c r="A6" s="146"/>
      <c r="B6" t="s">
        <v>102</v>
      </c>
      <c r="C6" s="18">
        <f ca="1">(4*F24)+(9*C31)+(4*(C10-D10))+(2*D10)</f>
        <v>14.511484983599999</v>
      </c>
      <c r="D6" s="50" t="s">
        <v>95</v>
      </c>
      <c r="E6" s="74" t="s">
        <v>97</v>
      </c>
      <c r="F6" s="74" t="s">
        <v>115</v>
      </c>
    </row>
    <row r="7" spans="1:9" ht="15.5" x14ac:dyDescent="0.35">
      <c r="A7" s="146"/>
      <c r="B7" t="s">
        <v>103</v>
      </c>
      <c r="C7" s="18">
        <f ca="1">(4*F24)+(9*C31)+(4*(C10-D10))+(2*E10)</f>
        <v>13.633700943600001</v>
      </c>
      <c r="D7" s="50" t="s">
        <v>95</v>
      </c>
      <c r="E7" s="74" t="s">
        <v>97</v>
      </c>
      <c r="F7" s="74" t="s">
        <v>116</v>
      </c>
    </row>
    <row r="8" spans="1:9" s="51" customFormat="1" ht="7" customHeight="1" x14ac:dyDescent="0.35">
      <c r="C8" s="52"/>
      <c r="D8" s="53"/>
      <c r="E8" s="53"/>
    </row>
    <row r="9" spans="1:9" ht="30" customHeight="1" x14ac:dyDescent="0.35">
      <c r="A9" s="150" t="s">
        <v>49</v>
      </c>
      <c r="B9" s="18"/>
      <c r="C9" s="1" t="str">
        <f ca="1">'Nutrition STONF'!C9</f>
        <v>Total carbohydrate</v>
      </c>
      <c r="D9" s="1" t="str">
        <f ca="1">'Nutrition STONF'!D9</f>
        <v>Total dietary fiber</v>
      </c>
      <c r="E9" s="1" t="str">
        <f ca="1">'Nutrition STONF'!E9</f>
        <v>Soluble fiber</v>
      </c>
    </row>
    <row r="10" spans="1:9" x14ac:dyDescent="0.35">
      <c r="A10" s="150"/>
      <c r="B10" s="18" t="s">
        <v>50</v>
      </c>
      <c r="C10" s="21" cm="1">
        <f t="array" aca="1" ref="C10" ca="1">INDIRECT("'"&amp;D2&amp;"'!K8")</f>
        <v>4.8605726699999998</v>
      </c>
      <c r="D10" s="21" cm="1">
        <f t="array" aca="1" ref="D10" ca="1">INDIRECT("'"&amp;D2&amp;"'!L8")</f>
        <v>2.7653497199999997</v>
      </c>
      <c r="E10" s="21" cm="1">
        <f t="array" aca="1" ref="E10" ca="1">INDIRECT("'"&amp;D2&amp;"'!M8")</f>
        <v>2.3264577000000002</v>
      </c>
    </row>
    <row r="11" spans="1:9" x14ac:dyDescent="0.35">
      <c r="A11" s="150"/>
      <c r="B11" s="18" t="s">
        <v>51</v>
      </c>
      <c r="C11" s="1">
        <f>'Nutrition STONF'!C11</f>
        <v>275</v>
      </c>
      <c r="D11" s="1">
        <f>'Nutrition STONF'!D11</f>
        <v>28</v>
      </c>
      <c r="E11" s="1" t="str">
        <f>'Nutrition STONF'!E11</f>
        <v>NA</v>
      </c>
    </row>
    <row r="12" spans="1:9" x14ac:dyDescent="0.35">
      <c r="A12" s="150"/>
      <c r="B12" s="18" t="s">
        <v>53</v>
      </c>
      <c r="C12" s="26">
        <f ca="1">C10/C11</f>
        <v>1.7674809709090907E-2</v>
      </c>
      <c r="D12" s="26">
        <f ca="1">D10/D11</f>
        <v>9.8762489999999994E-2</v>
      </c>
      <c r="E12" s="26" t="s">
        <v>52</v>
      </c>
    </row>
    <row r="13" spans="1:9" ht="127" customHeight="1" x14ac:dyDescent="0.35">
      <c r="A13" s="150"/>
      <c r="B13" s="18"/>
      <c r="C13" s="1" t="str">
        <f>'Nutrition STONF'!C13</f>
        <v>&lt; 0.5g - express as 0
&lt; 1g - express as "contains less than 1g" or "less than 1g"
≥1g - express to nearest 1g increment
Insignificant amount is &lt; 1g</v>
      </c>
      <c r="D13" s="1" t="str">
        <f>'Nutrition STONF'!D13</f>
        <v>&lt; 0.5g - express as 0
&lt; 1g - express as "contains less than 1g" or "less than 1g"
≥1g - express to nearest 1g increment
Insignificant amount is &lt; 1g</v>
      </c>
      <c r="E13" s="1" t="str">
        <f>'Nutrition STONF'!E13</f>
        <v>- Label value  based on calculation of psyllium being 70% soluble fiber (3.4g psyllium * 0.70 = 2.4g)
&lt; 0.5g - express as 0
&lt; 1g - express as "contains less than 1g" or "less than 1g"
≥1g - express to nearest 1g increment
Insignificant amount is &lt; 0.5g</v>
      </c>
    </row>
    <row r="14" spans="1:9" x14ac:dyDescent="0.35">
      <c r="A14" s="150"/>
      <c r="B14" s="18" t="s">
        <v>56</v>
      </c>
      <c r="C14" s="31" t="s">
        <v>57</v>
      </c>
      <c r="D14" s="31" t="s">
        <v>58</v>
      </c>
      <c r="E14" s="31" t="s">
        <v>59</v>
      </c>
    </row>
    <row r="16" spans="1:9" x14ac:dyDescent="0.35">
      <c r="A16" s="150" t="s">
        <v>49</v>
      </c>
      <c r="B16" s="18"/>
      <c r="C16" s="1" t="str">
        <f>'Nutrition STONF'!C16</f>
        <v>Iron [Mandatory]</v>
      </c>
      <c r="D16" s="1" t="str">
        <f>'Nutrition STONF'!D16</f>
        <v>Potassium [Mandatory]</v>
      </c>
      <c r="E16" s="1" t="str">
        <f>'Nutrition STONF'!E16</f>
        <v>Calcium [Mandatory]</v>
      </c>
    </row>
    <row r="17" spans="1:6" x14ac:dyDescent="0.35">
      <c r="A17" s="150"/>
      <c r="B17" s="18" t="s">
        <v>50</v>
      </c>
      <c r="C17" s="22" cm="1">
        <f t="array" aca="1" ref="C17" ca="1">INDIRECT("'"&amp;D2&amp;"'!P8")</f>
        <v>0.26681292000000001</v>
      </c>
      <c r="D17" s="22" cm="1">
        <f t="array" aca="1" ref="D17" ca="1">INDIRECT("'"&amp;D2&amp;"'!Q8")</f>
        <v>27.951141419999999</v>
      </c>
      <c r="E17" s="22" cm="1">
        <f t="array" aca="1" ref="E17" ca="1">INDIRECT("'"&amp;D2&amp;"'!S8")</f>
        <v>5.9692899779999991</v>
      </c>
    </row>
    <row r="18" spans="1:6" x14ac:dyDescent="0.35">
      <c r="A18" s="150"/>
      <c r="B18" s="18" t="s">
        <v>51</v>
      </c>
      <c r="C18" s="1">
        <f>'Nutrition STONF'!C18</f>
        <v>18</v>
      </c>
      <c r="D18" s="1">
        <f>'Nutrition STONF'!D18</f>
        <v>4700</v>
      </c>
      <c r="E18" s="1">
        <f>'Nutrition STONF'!E18</f>
        <v>1300</v>
      </c>
    </row>
    <row r="19" spans="1:6" x14ac:dyDescent="0.35">
      <c r="A19" s="150"/>
      <c r="B19" s="18" t="s">
        <v>53</v>
      </c>
      <c r="C19" s="26">
        <f ca="1">C17/C18</f>
        <v>1.482294E-2</v>
      </c>
      <c r="D19" s="26">
        <f t="shared" ref="D19:E19" ca="1" si="0">D17/D18</f>
        <v>5.9470513659574467E-3</v>
      </c>
      <c r="E19" s="26">
        <f t="shared" ca="1" si="0"/>
        <v>4.5917615215384606E-3</v>
      </c>
    </row>
    <row r="20" spans="1:6" ht="39" x14ac:dyDescent="0.35">
      <c r="A20" s="150"/>
      <c r="B20" s="18"/>
      <c r="C20" s="1" t="str">
        <f>'Nutrition STONF'!C20</f>
        <v>&lt;2% DV: shall not be declared 
&gt; 2% DV: round to nearest 0.1 mg and round to nearest % DV</v>
      </c>
      <c r="D20" s="1" t="str">
        <f>'Nutrition STONF'!D20</f>
        <v>&lt;2% DV: shall not be declared 
&gt; 2% DV: round to nearest 10 mg and round to nearest % DV</v>
      </c>
      <c r="E20" s="1" t="str">
        <f>'Nutrition STONF'!E20</f>
        <v>&lt;2% DV: shall not be declared 
&gt; 2% DV: round to nearest 10 mg and round to nearest % DV</v>
      </c>
    </row>
    <row r="21" spans="1:6" ht="29" x14ac:dyDescent="0.35">
      <c r="A21" s="150"/>
      <c r="B21" s="18" t="s">
        <v>56</v>
      </c>
      <c r="C21" s="31" t="s">
        <v>140</v>
      </c>
      <c r="D21" s="31" t="s">
        <v>60</v>
      </c>
      <c r="E21" s="31" t="s">
        <v>191</v>
      </c>
    </row>
    <row r="23" spans="1:6" x14ac:dyDescent="0.35">
      <c r="A23" s="150" t="s">
        <v>49</v>
      </c>
      <c r="B23" s="18"/>
      <c r="C23" s="1" t="str">
        <f>'Nutrition STONF'!C23</f>
        <v>Vitamin A [Voluntary]</v>
      </c>
      <c r="D23" s="1" t="str">
        <f>'Nutrition STONF'!D23</f>
        <v>Vitamin C [Voluntary]</v>
      </c>
      <c r="E23" s="1" t="str">
        <f>'Nutrition STONF'!E23</f>
        <v>Vitamin D [Mandatory]</v>
      </c>
      <c r="F23" s="1" t="str">
        <f>'Nutrition STONF'!F23</f>
        <v>Protein</v>
      </c>
    </row>
    <row r="24" spans="1:6" x14ac:dyDescent="0.35">
      <c r="A24" s="150"/>
      <c r="B24" s="18" t="s">
        <v>50</v>
      </c>
      <c r="C24" s="23" cm="1">
        <f t="array" aca="1" ref="C24" ca="1">INDIRECT("'"&amp;D2&amp;"'!T8")</f>
        <v>0</v>
      </c>
      <c r="D24" s="24" cm="1">
        <f t="array" aca="1" ref="D24" ca="1">INDIRECT("'"&amp;D2&amp;"'!U8")</f>
        <v>0</v>
      </c>
      <c r="E24" s="24" cm="1">
        <f t="array" aca="1" ref="E24" ca="1">INDIRECT("'"&amp;D2&amp;"'!V8")</f>
        <v>0</v>
      </c>
      <c r="F24" s="21" cm="1">
        <f t="array" aca="1" ref="F24" ca="1">INDIRECT("'"&amp;D2&amp;"'!W8")</f>
        <v>7.4982299399999994E-2</v>
      </c>
    </row>
    <row r="25" spans="1:6" x14ac:dyDescent="0.35">
      <c r="A25" s="150"/>
      <c r="B25" s="18" t="s">
        <v>51</v>
      </c>
      <c r="C25" s="1" t="str">
        <f>'Nutrition STONF'!C25</f>
        <v>900 mcg RAE</v>
      </c>
      <c r="D25" s="1">
        <f>'Nutrition STONF'!D25</f>
        <v>90</v>
      </c>
      <c r="E25" s="1" t="str">
        <f>'Nutrition STONF'!E25</f>
        <v>20 microgram</v>
      </c>
      <c r="F25" s="1" t="str">
        <f>'Nutrition STONF'!F25</f>
        <v>NA</v>
      </c>
    </row>
    <row r="26" spans="1:6" x14ac:dyDescent="0.35">
      <c r="A26" s="150"/>
      <c r="B26" s="18" t="s">
        <v>53</v>
      </c>
      <c r="C26" s="26" t="s">
        <v>52</v>
      </c>
      <c r="D26" s="26" t="s">
        <v>52</v>
      </c>
      <c r="E26" s="26">
        <f ca="1">E24/20</f>
        <v>0</v>
      </c>
      <c r="F26" s="26" t="s">
        <v>52</v>
      </c>
    </row>
    <row r="27" spans="1:6" ht="78" x14ac:dyDescent="0.35">
      <c r="A27" s="150"/>
      <c r="B27" s="18"/>
      <c r="C27" s="1" t="str">
        <f>'Nutrition STONF'!C27</f>
        <v>&lt;2% DV: shall not be declared 
&gt; 2% DV: round to nearest 10 mcg RAE and round to nearest % DV</v>
      </c>
      <c r="D27" s="1" t="str">
        <f>'Nutrition STONF'!D27</f>
        <v>&lt;2% DV: shall not be declared 
&gt; 2% DV: round to nearest 1 mg and round to nearest % DV</v>
      </c>
      <c r="E27" s="1" t="str">
        <f>'Nutrition STONF'!E27</f>
        <v>&lt;2% DV: shall not be declared 
&gt; 2% DV: round to nearest 0.1 mcg and round to nearest % DV</v>
      </c>
      <c r="F27" s="1" t="str">
        <f>'Nutrition STONF'!F27</f>
        <v>&lt; 0.5g - express as 0
&lt; 1g - express as "contains less than 1g" or "less than 1g"
≥1g - express to nearest 1g increment
Insignificant amount is &lt; 0.5g</v>
      </c>
    </row>
    <row r="28" spans="1:6" x14ac:dyDescent="0.35">
      <c r="A28" s="150"/>
      <c r="B28" s="18" t="s">
        <v>56</v>
      </c>
      <c r="C28" s="31" t="s">
        <v>61</v>
      </c>
      <c r="D28" s="31" t="s">
        <v>62</v>
      </c>
      <c r="E28" s="31">
        <v>0</v>
      </c>
      <c r="F28" s="31" t="s">
        <v>63</v>
      </c>
    </row>
    <row r="30" spans="1:6" x14ac:dyDescent="0.35">
      <c r="A30" s="149" t="s">
        <v>64</v>
      </c>
      <c r="B30" s="18"/>
      <c r="C30" s="1" t="str">
        <f>'Nutrition STONF'!C30</f>
        <v>Total Fat</v>
      </c>
      <c r="D30" s="1" t="str">
        <f>'Nutrition STONF'!D30</f>
        <v>Saturated Fat</v>
      </c>
      <c r="E30" s="1" t="str">
        <f>'Nutrition STONF'!E30</f>
        <v>Trans Fat</v>
      </c>
      <c r="F30" s="1" t="str">
        <f>'Nutrition STONF'!F30</f>
        <v>Cholesterol</v>
      </c>
    </row>
    <row r="31" spans="1:6" x14ac:dyDescent="0.35">
      <c r="A31" s="149"/>
      <c r="B31" s="18" t="s">
        <v>50</v>
      </c>
      <c r="C31" s="21" cm="1">
        <f t="array" aca="1" ref="C31" ca="1">INDIRECT("'"&amp;D2&amp;"'!G8")</f>
        <v>3.3329393999999998E-2</v>
      </c>
      <c r="D31" s="21" cm="1">
        <f t="array" aca="1" ref="D31" ca="1">INDIRECT("'"&amp;D2&amp;"'!H8")</f>
        <v>5.4779004000000001E-3</v>
      </c>
      <c r="E31" s="21" cm="1">
        <f t="array" aca="1" ref="E31" ca="1">INDIRECT("'"&amp;D2&amp;"'!I8")</f>
        <v>0</v>
      </c>
      <c r="F31" s="21" cm="1">
        <f t="array" aca="1" ref="F31" ca="1">INDIRECT("'"&amp;D2&amp;"'!J8")</f>
        <v>0</v>
      </c>
    </row>
    <row r="32" spans="1:6" x14ac:dyDescent="0.35">
      <c r="A32" s="149"/>
      <c r="B32" s="18" t="s">
        <v>51</v>
      </c>
      <c r="C32" s="1">
        <f>'Nutrition STONF'!C32</f>
        <v>78</v>
      </c>
      <c r="D32" s="1">
        <f>'Nutrition STONF'!D32</f>
        <v>20</v>
      </c>
      <c r="E32" s="1" t="str">
        <f>'Nutrition STONF'!E32</f>
        <v>NA</v>
      </c>
      <c r="F32" s="1" t="str">
        <f>'Nutrition STONF'!F32</f>
        <v>300 mg</v>
      </c>
    </row>
    <row r="33" spans="1:11" x14ac:dyDescent="0.35">
      <c r="A33" s="149"/>
      <c r="B33" s="18" t="s">
        <v>53</v>
      </c>
      <c r="C33" s="26" t="s">
        <v>52</v>
      </c>
      <c r="D33" s="26" t="s">
        <v>52</v>
      </c>
      <c r="E33" s="26" t="s">
        <v>52</v>
      </c>
      <c r="F33" s="26" t="s">
        <v>52</v>
      </c>
    </row>
    <row r="34" spans="1:11" ht="73.400000000000006" customHeight="1" x14ac:dyDescent="0.35">
      <c r="A34" s="149"/>
      <c r="B34" s="18"/>
      <c r="C34" s="1" t="str">
        <f>'Nutrition STONF'!C34</f>
        <v xml:space="preserve">&lt; 0.5g - express as 0
&lt; 5 g - nearest 0.5 g increment
&gt; 5 g: nearest 1 g increment
</v>
      </c>
      <c r="D34" s="1" t="str">
        <f>'Nutrition STONF'!D34</f>
        <v xml:space="preserve">&lt; 0.5g - express as 0
&lt; 5 g - nearest 0.5 g increment
&gt; 5 g: nearest 1 g increment
</v>
      </c>
      <c r="E34" s="1" t="str">
        <f>'Nutrition STONF'!E34</f>
        <v xml:space="preserve">&lt; 0.5g - express as 0
&lt; 5 g - nearest 0.5 g increment
&gt; 5 g: nearest 1 g increment
</v>
      </c>
      <c r="F34" s="1" t="str">
        <f>'Nutrition STONF'!F34</f>
        <v>&lt; 2mg: express as 0
2-5 mg: "less than 5 mg"
&gt; 5 mg: 5 mg increment</v>
      </c>
    </row>
    <row r="35" spans="1:11" x14ac:dyDescent="0.35">
      <c r="A35" s="149"/>
      <c r="B35" s="18" t="s">
        <v>56</v>
      </c>
      <c r="C35" s="31" t="s">
        <v>62</v>
      </c>
      <c r="D35" s="31" t="s">
        <v>62</v>
      </c>
      <c r="E35" s="31" t="s">
        <v>62</v>
      </c>
      <c r="F35" s="31" t="s">
        <v>62</v>
      </c>
    </row>
    <row r="37" spans="1:11" ht="30" customHeight="1" x14ac:dyDescent="0.35">
      <c r="A37" s="149" t="s">
        <v>64</v>
      </c>
      <c r="B37" s="18"/>
      <c r="C37" s="1" t="str">
        <f ca="1">'Nutrition STONF'!C37</f>
        <v>Calories (US Rules)</v>
      </c>
      <c r="D37" s="1" t="str">
        <f>'Nutrition STONF'!D37</f>
        <v>Calories from Fat</v>
      </c>
      <c r="E37" s="1" t="str">
        <f ca="1">'Nutrition STONF'!E37</f>
        <v xml:space="preserve">Sugar </v>
      </c>
      <c r="F37" s="1" t="str">
        <f ca="1">'Nutrition STONF'!F37</f>
        <v>Added Sugars</v>
      </c>
      <c r="G37" s="1" t="str">
        <f ca="1">'Nutrition STONF'!G37</f>
        <v>Sodium</v>
      </c>
    </row>
    <row r="38" spans="1:11" x14ac:dyDescent="0.35">
      <c r="A38" s="149"/>
      <c r="B38" s="18" t="s">
        <v>50</v>
      </c>
      <c r="C38" s="20">
        <f ca="1">C7</f>
        <v>13.633700943600001</v>
      </c>
      <c r="D38" s="20" cm="1">
        <f t="array" aca="1" ref="D38" ca="1">INDIRECT("'"&amp;D2&amp;"'!F8")</f>
        <v>0.14262340679999999</v>
      </c>
      <c r="E38" s="21" cm="1">
        <f t="array" aca="1" ref="E38" ca="1">INDIRECT("'"&amp;D2&amp;"'!N8")</f>
        <v>6.9223140000000002E-2</v>
      </c>
      <c r="F38" s="21" cm="1">
        <f t="array" aca="1" ref="F38" ca="1">INDIRECT("'"&amp;D2&amp;"'!O8")</f>
        <v>0</v>
      </c>
      <c r="G38" s="22" cm="1">
        <f t="array" aca="1" ref="G38" ca="1">INDIRECT("'"&amp;D2&amp;"'!R8")</f>
        <v>5.1474374099999993</v>
      </c>
    </row>
    <row r="39" spans="1:11" x14ac:dyDescent="0.35">
      <c r="A39" s="149"/>
      <c r="B39" s="18" t="s">
        <v>51</v>
      </c>
      <c r="C39" s="1" t="str">
        <f>'Nutrition STONF'!C39</f>
        <v>NA</v>
      </c>
      <c r="D39" s="1" t="str">
        <f>'Nutrition STONF'!D39</f>
        <v>NA</v>
      </c>
      <c r="E39" s="1" t="str">
        <f>'Nutrition STONF'!E39</f>
        <v>NA</v>
      </c>
      <c r="F39" s="1">
        <f>'Nutrition STONF'!F39</f>
        <v>50</v>
      </c>
      <c r="G39" s="1">
        <f>'Nutrition STONF'!G39</f>
        <v>2300</v>
      </c>
    </row>
    <row r="40" spans="1:11" x14ac:dyDescent="0.35">
      <c r="A40" s="149"/>
      <c r="B40" s="18" t="s">
        <v>53</v>
      </c>
      <c r="C40" s="25" t="s">
        <v>52</v>
      </c>
      <c r="D40" s="25" t="s">
        <v>52</v>
      </c>
      <c r="E40" s="26" t="s">
        <v>52</v>
      </c>
      <c r="F40" s="26">
        <f t="shared" ref="F40:G40" ca="1" si="1">F38/F39</f>
        <v>0</v>
      </c>
      <c r="G40" s="26">
        <f t="shared" ca="1" si="1"/>
        <v>2.2380162652173908E-3</v>
      </c>
    </row>
    <row r="41" spans="1:11" ht="193.4" customHeight="1" x14ac:dyDescent="0.35">
      <c r="A41" s="149"/>
      <c r="B41" s="18"/>
      <c r="C41" s="1" t="str">
        <f>'Nutrition STONF'!C41</f>
        <v>&lt; 5 cal - express as 0
≤ 50 cal - express to nearest 5 cal increment
&gt; 50 cal - express to nearest 10 cal increment
Insignificant amount is &lt; 5 cal</v>
      </c>
      <c r="D41" s="1" t="str">
        <f>'Nutrition STONF'!D41</f>
        <v>Not required to be declared</v>
      </c>
      <c r="E41" s="1" t="str">
        <f>'Nutrition STONF'!E41</f>
        <v>&lt; 0.5g - express as 0
&lt; 1g - express as "contains less than 1g" or "less than 1g"
≥1g - express to nearest 1g increment
Insignificant amount is &lt; 0.5g</v>
      </c>
      <c r="F41" s="1" t="str">
        <f>'Nutrition STONF'!F41</f>
        <v>&lt; 0.5g - express as 0
&lt; 1g - express as "contains less than 1g" or "less than 1g"
≥1g - express to nearest 1g increment
Insignificant amount is &lt; 0.5g</v>
      </c>
      <c r="G41" s="1" t="str">
        <f>'Nutrition STONF'!G41</f>
        <v>&lt; 5mg - express as 0
5-140mg - express to nearest 5mg increment
&gt; 140mg - express to nearest 10mg increment
Insignificant amount is &lt; 5mg</v>
      </c>
      <c r="K41" s="32"/>
    </row>
    <row r="42" spans="1:11" x14ac:dyDescent="0.35">
      <c r="A42" s="149"/>
      <c r="B42" s="18" t="s">
        <v>56</v>
      </c>
      <c r="C42" s="31" t="s">
        <v>161</v>
      </c>
      <c r="D42" s="31">
        <v>0</v>
      </c>
      <c r="E42" s="30">
        <v>0</v>
      </c>
      <c r="F42" s="31">
        <v>0</v>
      </c>
      <c r="G42" s="31" t="s">
        <v>67</v>
      </c>
      <c r="K42" s="33"/>
    </row>
    <row r="43" spans="1:11" x14ac:dyDescent="0.35">
      <c r="A43" s="29"/>
      <c r="D43" s="28"/>
      <c r="K43" s="34"/>
    </row>
    <row r="44" spans="1:11" x14ac:dyDescent="0.35">
      <c r="D44" s="28"/>
      <c r="K44" s="34"/>
    </row>
    <row r="45" spans="1:11" x14ac:dyDescent="0.35">
      <c r="D45" s="28"/>
    </row>
    <row r="46" spans="1:11" x14ac:dyDescent="0.35">
      <c r="D46" s="28"/>
    </row>
    <row r="50" spans="1:6" x14ac:dyDescent="0.35">
      <c r="A50" s="43" t="s">
        <v>188</v>
      </c>
      <c r="B50" s="43"/>
      <c r="C50" s="113"/>
    </row>
    <row r="51" spans="1:6" x14ac:dyDescent="0.35">
      <c r="A51" s="42" t="s">
        <v>162</v>
      </c>
      <c r="B51" s="42">
        <v>14962665</v>
      </c>
    </row>
    <row r="52" spans="1:6" x14ac:dyDescent="0.35">
      <c r="B52" t="s">
        <v>163</v>
      </c>
      <c r="D52" t="s">
        <v>189</v>
      </c>
      <c r="F52" s="114" t="s">
        <v>182</v>
      </c>
    </row>
    <row r="53" spans="1:6" x14ac:dyDescent="0.35">
      <c r="A53" s="9" t="s">
        <v>43</v>
      </c>
      <c r="B53">
        <v>259</v>
      </c>
      <c r="D53">
        <f>(5.4/100)*B53</f>
        <v>13.986000000000002</v>
      </c>
      <c r="F53" s="114" t="str">
        <f>C42</f>
        <v>15kCal</v>
      </c>
    </row>
    <row r="54" spans="1:6" x14ac:dyDescent="0.35">
      <c r="A54" s="9" t="s">
        <v>5</v>
      </c>
      <c r="B54">
        <v>3.86</v>
      </c>
      <c r="D54">
        <f t="shared" ref="D54:D71" si="2">(5.4/100)*B54</f>
        <v>0.20844000000000001</v>
      </c>
      <c r="F54" s="114">
        <f>D42</f>
        <v>0</v>
      </c>
    </row>
    <row r="55" spans="1:6" x14ac:dyDescent="0.35">
      <c r="A55" s="71" t="s">
        <v>6</v>
      </c>
      <c r="B55">
        <v>0.42899999999999999</v>
      </c>
      <c r="D55">
        <f t="shared" si="2"/>
        <v>2.3166000000000003E-2</v>
      </c>
      <c r="F55" s="114" t="str">
        <f>C35</f>
        <v>none</v>
      </c>
    </row>
    <row r="56" spans="1:6" x14ac:dyDescent="0.35">
      <c r="A56" s="71" t="s">
        <v>7</v>
      </c>
      <c r="B56">
        <v>0.10299999999999999</v>
      </c>
      <c r="D56">
        <f t="shared" si="2"/>
        <v>5.5620000000000001E-3</v>
      </c>
      <c r="F56" s="114" t="str">
        <f>D35</f>
        <v>none</v>
      </c>
    </row>
    <row r="57" spans="1:6" x14ac:dyDescent="0.35">
      <c r="A57" s="71" t="s">
        <v>8</v>
      </c>
      <c r="B57" t="s">
        <v>176</v>
      </c>
      <c r="D57">
        <f>(5.4/100)*0.007</f>
        <v>3.7800000000000003E-4</v>
      </c>
      <c r="F57" s="114" t="str">
        <f>E35</f>
        <v>none</v>
      </c>
    </row>
    <row r="58" spans="1:6" x14ac:dyDescent="0.35">
      <c r="A58" s="71" t="s">
        <v>9</v>
      </c>
      <c r="B58" t="s">
        <v>184</v>
      </c>
      <c r="C58" t="s">
        <v>165</v>
      </c>
      <c r="D58">
        <f>0.01*5.4</f>
        <v>5.4000000000000006E-2</v>
      </c>
      <c r="E58" t="s">
        <v>132</v>
      </c>
      <c r="F58" s="114" t="str">
        <f>F35</f>
        <v>none</v>
      </c>
    </row>
    <row r="59" spans="1:6" x14ac:dyDescent="0.35">
      <c r="A59" s="71" t="s">
        <v>10</v>
      </c>
      <c r="B59">
        <v>90.9</v>
      </c>
      <c r="D59">
        <f t="shared" si="2"/>
        <v>4.9086000000000007</v>
      </c>
      <c r="F59" s="114" t="str">
        <f>C14</f>
        <v>5g</v>
      </c>
    </row>
    <row r="60" spans="1:6" x14ac:dyDescent="0.35">
      <c r="A60" s="71" t="s">
        <v>11</v>
      </c>
      <c r="B60">
        <v>48.1</v>
      </c>
      <c r="D60">
        <f t="shared" si="2"/>
        <v>2.5974000000000004</v>
      </c>
      <c r="F60" s="114" t="str">
        <f>D14</f>
        <v>3g</v>
      </c>
    </row>
    <row r="61" spans="1:6" x14ac:dyDescent="0.35">
      <c r="A61" s="71" t="s">
        <v>12</v>
      </c>
      <c r="B61">
        <v>37.200000000000003</v>
      </c>
      <c r="D61">
        <f t="shared" si="2"/>
        <v>2.0088000000000004</v>
      </c>
      <c r="F61" s="114" t="str">
        <f>E14</f>
        <v>2g</v>
      </c>
    </row>
    <row r="62" spans="1:6" x14ac:dyDescent="0.35">
      <c r="A62" s="71" t="s">
        <v>13</v>
      </c>
      <c r="B62">
        <v>1</v>
      </c>
      <c r="D62">
        <f t="shared" si="2"/>
        <v>5.4000000000000006E-2</v>
      </c>
      <c r="F62" s="115">
        <f>E42</f>
        <v>0</v>
      </c>
    </row>
    <row r="63" spans="1:6" x14ac:dyDescent="0.35">
      <c r="A63" s="71" t="s">
        <v>14</v>
      </c>
      <c r="D63">
        <f t="shared" si="2"/>
        <v>0</v>
      </c>
      <c r="F63" s="114">
        <f>F42</f>
        <v>0</v>
      </c>
    </row>
    <row r="64" spans="1:6" x14ac:dyDescent="0.35">
      <c r="A64" s="71" t="s">
        <v>15</v>
      </c>
      <c r="B64" s="113"/>
      <c r="C64" t="s">
        <v>185</v>
      </c>
      <c r="D64">
        <f t="shared" si="2"/>
        <v>0</v>
      </c>
      <c r="E64" t="s">
        <v>132</v>
      </c>
      <c r="F64" s="114" t="str">
        <f>C21</f>
        <v>2% DV</v>
      </c>
    </row>
    <row r="65" spans="1:6" x14ac:dyDescent="0.35">
      <c r="A65" s="71" t="s">
        <v>16</v>
      </c>
      <c r="B65" s="113"/>
      <c r="C65" t="s">
        <v>185</v>
      </c>
      <c r="D65">
        <f t="shared" si="2"/>
        <v>0</v>
      </c>
      <c r="E65" t="s">
        <v>132</v>
      </c>
      <c r="F65" s="114" t="str">
        <f>D21</f>
        <v>30 mg</v>
      </c>
    </row>
    <row r="66" spans="1:6" x14ac:dyDescent="0.35">
      <c r="A66" s="71" t="s">
        <v>17</v>
      </c>
      <c r="B66" s="113"/>
      <c r="C66" t="s">
        <v>185</v>
      </c>
      <c r="D66">
        <f t="shared" si="2"/>
        <v>0</v>
      </c>
      <c r="E66" t="s">
        <v>132</v>
      </c>
      <c r="F66" s="114" t="str">
        <f>G42</f>
        <v>5mg</v>
      </c>
    </row>
    <row r="67" spans="1:6" ht="43.5" x14ac:dyDescent="0.35">
      <c r="A67" s="71" t="s">
        <v>18</v>
      </c>
      <c r="C67" t="s">
        <v>185</v>
      </c>
      <c r="D67">
        <f t="shared" si="2"/>
        <v>0</v>
      </c>
      <c r="E67" t="s">
        <v>132</v>
      </c>
      <c r="F67" s="116" t="str">
        <f>E21</f>
        <v>0 or "Contains less than 2% of the Daily Value of this nutrient"</v>
      </c>
    </row>
    <row r="68" spans="1:6" x14ac:dyDescent="0.35">
      <c r="A68" s="71" t="s">
        <v>19</v>
      </c>
      <c r="B68" s="113"/>
      <c r="C68" t="s">
        <v>185</v>
      </c>
      <c r="D68">
        <f t="shared" si="2"/>
        <v>0</v>
      </c>
      <c r="F68" s="114" t="str">
        <f>C28</f>
        <v>4 IU</v>
      </c>
    </row>
    <row r="69" spans="1:6" x14ac:dyDescent="0.35">
      <c r="A69" s="71" t="s">
        <v>20</v>
      </c>
      <c r="B69" s="113"/>
      <c r="C69" t="s">
        <v>185</v>
      </c>
      <c r="D69">
        <f t="shared" si="2"/>
        <v>0</v>
      </c>
      <c r="F69" s="114" t="str">
        <f>D28</f>
        <v>none</v>
      </c>
    </row>
    <row r="70" spans="1:6" x14ac:dyDescent="0.35">
      <c r="A70" s="71" t="s">
        <v>21</v>
      </c>
      <c r="B70" t="s">
        <v>190</v>
      </c>
      <c r="C70" t="s">
        <v>166</v>
      </c>
      <c r="D70">
        <f>0.001*5.4</f>
        <v>5.4000000000000003E-3</v>
      </c>
      <c r="E70" t="s">
        <v>132</v>
      </c>
      <c r="F70" s="114">
        <f>E28</f>
        <v>0</v>
      </c>
    </row>
    <row r="71" spans="1:6" x14ac:dyDescent="0.35">
      <c r="A71" s="71" t="s">
        <v>22</v>
      </c>
      <c r="B71">
        <v>2.4700000000000002</v>
      </c>
      <c r="D71">
        <f t="shared" si="2"/>
        <v>0.13338000000000003</v>
      </c>
      <c r="F71" s="114" t="str">
        <f>F28</f>
        <v>0g</v>
      </c>
    </row>
  </sheetData>
  <mergeCells count="6">
    <mergeCell ref="A37:A42"/>
    <mergeCell ref="A5:A7"/>
    <mergeCell ref="A9:A14"/>
    <mergeCell ref="A16:A21"/>
    <mergeCell ref="A23:A28"/>
    <mergeCell ref="A30:A35"/>
  </mergeCells>
  <pageMargins left="0.7" right="0.7" top="0.75" bottom="0.75" header="0.3" footer="0.3"/>
  <pageSetup orientation="portrait" r:id="rId1"/>
  <headerFooter>
    <oddHeader>&amp;R&amp;"Calibri"&amp;10&amp;K000000Highly Restricted&amp;1#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05BD1-A870-4CFE-8538-7C94EE5A8BE9}">
  <dimension ref="A1:W34"/>
  <sheetViews>
    <sheetView zoomScaleNormal="100" workbookViewId="0">
      <selection activeCell="A14" sqref="A14:XFD18"/>
    </sheetView>
  </sheetViews>
  <sheetFormatPr defaultRowHeight="14.5" x14ac:dyDescent="0.35"/>
  <cols>
    <col min="1" max="1" width="3" bestFit="1" customWidth="1"/>
    <col min="2" max="2" width="20.1796875" bestFit="1" customWidth="1"/>
    <col min="3" max="3" width="13.1796875" bestFit="1" customWidth="1"/>
    <col min="4" max="4" width="16.453125" bestFit="1" customWidth="1"/>
    <col min="5" max="6" width="12.6328125" customWidth="1"/>
    <col min="7" max="23" width="12.6328125" style="66" customWidth="1"/>
  </cols>
  <sheetData>
    <row r="1" spans="1:23" s="44" customFormat="1" x14ac:dyDescent="0.35">
      <c r="B1" s="45" t="s">
        <v>88</v>
      </c>
      <c r="C1" s="46">
        <v>46078</v>
      </c>
      <c r="D1" s="47" t="s">
        <v>89</v>
      </c>
      <c r="E1" s="45" t="s">
        <v>90</v>
      </c>
      <c r="F1" s="47" t="s">
        <v>91</v>
      </c>
      <c r="G1" s="64" t="s">
        <v>92</v>
      </c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</row>
    <row r="2" spans="1:23" x14ac:dyDescent="0.35">
      <c r="B2" t="s">
        <v>35</v>
      </c>
    </row>
    <row r="3" spans="1:23" x14ac:dyDescent="0.35">
      <c r="B3" s="13" t="s">
        <v>36</v>
      </c>
    </row>
    <row r="4" spans="1:23" x14ac:dyDescent="0.35">
      <c r="B4" t="s">
        <v>37</v>
      </c>
      <c r="D4" s="37"/>
    </row>
    <row r="5" spans="1:23" x14ac:dyDescent="0.35">
      <c r="B5" t="s">
        <v>38</v>
      </c>
      <c r="C5" t="s">
        <v>3</v>
      </c>
      <c r="D5" s="13" t="s">
        <v>142</v>
      </c>
      <c r="E5" s="37"/>
    </row>
    <row r="6" spans="1:23" ht="15" thickBot="1" x14ac:dyDescent="0.4">
      <c r="B6" s="13" t="s">
        <v>93</v>
      </c>
      <c r="C6" s="13">
        <v>5.8</v>
      </c>
      <c r="D6">
        <f>C6*2</f>
        <v>11.6</v>
      </c>
    </row>
    <row r="7" spans="1:23" ht="15" thickBot="1" x14ac:dyDescent="0.4">
      <c r="B7" s="62" t="s">
        <v>114</v>
      </c>
      <c r="C7" s="63">
        <f>C6</f>
        <v>5.8</v>
      </c>
      <c r="E7" t="s">
        <v>113</v>
      </c>
    </row>
    <row r="8" spans="1:23" ht="27" customHeight="1" x14ac:dyDescent="0.35">
      <c r="B8" s="10" t="s">
        <v>39</v>
      </c>
      <c r="C8" s="11">
        <f>SUM(C14:C34)</f>
        <v>1.0001</v>
      </c>
      <c r="D8" s="16">
        <f>SUM(D14:D21)</f>
        <v>5.8005800000000001</v>
      </c>
      <c r="E8" s="76">
        <f>SUM(E14:E34)</f>
        <v>20.733862039999995</v>
      </c>
      <c r="F8" s="76">
        <f>SUM(F14:F34)</f>
        <v>0.14077964159999998</v>
      </c>
      <c r="G8" s="67">
        <f t="shared" ref="G8:W8" si="0">SUM(G14:G34)</f>
        <v>3.2898527999999996E-2</v>
      </c>
      <c r="H8" s="67">
        <f t="shared" si="0"/>
        <v>5.4070847999999998E-3</v>
      </c>
      <c r="I8" s="67">
        <f t="shared" si="0"/>
        <v>0</v>
      </c>
      <c r="J8" s="68">
        <f>SUM(J14:J34)</f>
        <v>0</v>
      </c>
      <c r="K8" s="67">
        <f t="shared" si="0"/>
        <v>5.2019901299999995</v>
      </c>
      <c r="L8" s="67">
        <f t="shared" si="0"/>
        <v>2.7296006399999997</v>
      </c>
      <c r="M8" s="67">
        <f t="shared" si="0"/>
        <v>2.2963823999999997</v>
      </c>
      <c r="N8" s="67">
        <f t="shared" si="0"/>
        <v>7.3048679999999991E-2</v>
      </c>
      <c r="O8" s="67">
        <f>SUM(O14:O34)</f>
        <v>0</v>
      </c>
      <c r="P8" s="73">
        <f t="shared" si="0"/>
        <v>0.26403803999999997</v>
      </c>
      <c r="Q8" s="73">
        <f t="shared" si="0"/>
        <v>27.594993499999998</v>
      </c>
      <c r="R8" s="73">
        <f t="shared" si="0"/>
        <v>5.3762003799999993</v>
      </c>
      <c r="S8" s="73">
        <f t="shared" si="0"/>
        <v>5.9069851759999992</v>
      </c>
      <c r="T8" s="69">
        <f t="shared" si="0"/>
        <v>0</v>
      </c>
      <c r="U8" s="68">
        <f t="shared" si="0"/>
        <v>0</v>
      </c>
      <c r="V8" s="70">
        <f t="shared" si="0"/>
        <v>0</v>
      </c>
      <c r="W8" s="67">
        <f t="shared" si="0"/>
        <v>0.11697855279999998</v>
      </c>
    </row>
    <row r="9" spans="1:23" x14ac:dyDescent="0.35">
      <c r="E9" s="148" t="s">
        <v>40</v>
      </c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</row>
    <row r="10" spans="1:23" x14ac:dyDescent="0.35">
      <c r="B10" t="s">
        <v>112</v>
      </c>
      <c r="C10" s="37">
        <v>2</v>
      </c>
      <c r="D10" s="61">
        <f>C6*2</f>
        <v>11.6</v>
      </c>
      <c r="E10" s="76">
        <f>E8*$C$10</f>
        <v>41.467724079999989</v>
      </c>
      <c r="F10" s="76">
        <f t="shared" ref="F10:W10" si="1">F8*$C$10</f>
        <v>0.28155928319999995</v>
      </c>
      <c r="G10" s="67">
        <f t="shared" si="1"/>
        <v>6.5797055999999993E-2</v>
      </c>
      <c r="H10" s="67">
        <f t="shared" si="1"/>
        <v>1.08141696E-2</v>
      </c>
      <c r="I10" s="67">
        <f t="shared" si="1"/>
        <v>0</v>
      </c>
      <c r="J10" s="68">
        <f t="shared" si="1"/>
        <v>0</v>
      </c>
      <c r="K10" s="67">
        <f t="shared" si="1"/>
        <v>10.403980259999999</v>
      </c>
      <c r="L10" s="67">
        <f t="shared" si="1"/>
        <v>5.4592012799999994</v>
      </c>
      <c r="M10" s="67">
        <f t="shared" si="1"/>
        <v>4.5927647999999994</v>
      </c>
      <c r="N10" s="67">
        <f t="shared" si="1"/>
        <v>0.14609735999999998</v>
      </c>
      <c r="O10" s="67">
        <f t="shared" si="1"/>
        <v>0</v>
      </c>
      <c r="P10" s="73">
        <f t="shared" si="1"/>
        <v>0.52807607999999995</v>
      </c>
      <c r="Q10" s="73">
        <f t="shared" si="1"/>
        <v>55.189986999999995</v>
      </c>
      <c r="R10" s="73">
        <f t="shared" si="1"/>
        <v>10.752400759999999</v>
      </c>
      <c r="S10" s="73">
        <f t="shared" si="1"/>
        <v>11.813970351999998</v>
      </c>
      <c r="T10" s="69">
        <f t="shared" si="1"/>
        <v>0</v>
      </c>
      <c r="U10" s="68">
        <f t="shared" si="1"/>
        <v>0</v>
      </c>
      <c r="V10" s="70">
        <f t="shared" si="1"/>
        <v>0</v>
      </c>
      <c r="W10" s="67">
        <f t="shared" si="1"/>
        <v>0.23395710559999996</v>
      </c>
    </row>
    <row r="11" spans="1:23" x14ac:dyDescent="0.35">
      <c r="D11" s="38"/>
    </row>
    <row r="12" spans="1:23" x14ac:dyDescent="0.35">
      <c r="C12" s="100">
        <f>SUM(C14:C34)</f>
        <v>1.0001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</row>
    <row r="13" spans="1:23" s="9" customFormat="1" ht="29" x14ac:dyDescent="0.35">
      <c r="B13" s="9" t="s">
        <v>0</v>
      </c>
      <c r="C13" s="9" t="s">
        <v>41</v>
      </c>
      <c r="D13" s="9" t="s">
        <v>42</v>
      </c>
      <c r="E13" s="9" t="s">
        <v>43</v>
      </c>
      <c r="F13" s="9" t="s">
        <v>5</v>
      </c>
      <c r="G13" s="71" t="s">
        <v>6</v>
      </c>
      <c r="H13" s="71" t="s">
        <v>7</v>
      </c>
      <c r="I13" s="71" t="s">
        <v>8</v>
      </c>
      <c r="J13" s="71" t="s">
        <v>9</v>
      </c>
      <c r="K13" s="71" t="s">
        <v>10</v>
      </c>
      <c r="L13" s="71" t="s">
        <v>11</v>
      </c>
      <c r="M13" s="71" t="s">
        <v>12</v>
      </c>
      <c r="N13" s="71" t="s">
        <v>13</v>
      </c>
      <c r="O13" s="71" t="s">
        <v>14</v>
      </c>
      <c r="P13" s="71" t="s">
        <v>15</v>
      </c>
      <c r="Q13" s="71" t="s">
        <v>16</v>
      </c>
      <c r="R13" s="71" t="s">
        <v>17</v>
      </c>
      <c r="S13" s="71" t="s">
        <v>18</v>
      </c>
      <c r="T13" s="71" t="s">
        <v>19</v>
      </c>
      <c r="U13" s="71" t="s">
        <v>20</v>
      </c>
      <c r="V13" s="71" t="s">
        <v>21</v>
      </c>
      <c r="W13" s="71" t="s">
        <v>22</v>
      </c>
    </row>
    <row r="14" spans="1:23" x14ac:dyDescent="0.35">
      <c r="A14">
        <v>1</v>
      </c>
      <c r="B14" s="14" t="s">
        <v>23</v>
      </c>
      <c r="C14" s="12">
        <v>0.56159999999999999</v>
      </c>
      <c r="D14" s="17">
        <f>C14*$C$7</f>
        <v>3.2572799999999997</v>
      </c>
      <c r="E14" s="76">
        <f>VLOOKUP($B14,Ingredients!$A:$W,5,FALSE)*$D14/100</f>
        <v>11.752266239999999</v>
      </c>
      <c r="F14" s="76">
        <f>VLOOKUP($B14,Ingredients!$A:$W,6,FALSE)*$D14/100</f>
        <v>0.14077964159999998</v>
      </c>
      <c r="G14" s="67">
        <f>VLOOKUP($B14,Ingredients!$A:$W,7,FALSE)*$D14/100</f>
        <v>3.2898527999999996E-2</v>
      </c>
      <c r="H14" s="67">
        <f>VLOOKUP($B14,Ingredients!$A:$W,8,FALSE)*$D14/100</f>
        <v>5.4070847999999998E-3</v>
      </c>
      <c r="I14" s="67">
        <f>VLOOKUP($B14,Ingredients!$A:$W,9,FALSE)*$D14/100</f>
        <v>0</v>
      </c>
      <c r="J14" s="68">
        <f>VLOOKUP($B14,Ingredients!$A:$W,10,FALSE)*$D14/100</f>
        <v>0</v>
      </c>
      <c r="K14" s="67">
        <f>VLOOKUP($B14,Ingredients!$A:$W,11,FALSE)*$D14/100</f>
        <v>2.8338335999999997</v>
      </c>
      <c r="L14" s="67">
        <f>VLOOKUP($B14,Ingredients!$A:$W,12,FALSE)*$D14/100</f>
        <v>2.7296006399999997</v>
      </c>
      <c r="M14" s="67">
        <f>VLOOKUP($B14,Ingredients!$A:$W,13,FALSE)*$D14/100</f>
        <v>2.2963823999999997</v>
      </c>
      <c r="N14" s="67">
        <f>VLOOKUP($B14,Ingredients!$A:$W,14,FALSE)*$D14/100</f>
        <v>3.25728E-3</v>
      </c>
      <c r="O14" s="67">
        <f>VLOOKUP($B14,Ingredients!$A:$W,15,FALSE)*$D14/100</f>
        <v>0</v>
      </c>
      <c r="P14" s="73">
        <f>VLOOKUP($B14,Ingredients!$A:$W,16,FALSE)*$D14/100</f>
        <v>0.25406783999999999</v>
      </c>
      <c r="Q14" s="73">
        <f>VLOOKUP($B14,Ingredients!$A:$W,17,FALSE)*$D14/100</f>
        <v>27.589161599999997</v>
      </c>
      <c r="R14" s="73">
        <f>VLOOKUP($B14,Ingredients!$A:$W,18,FALSE)*$D14/100</f>
        <v>2.2914964799999997</v>
      </c>
      <c r="S14" s="73">
        <f>VLOOKUP($B14,Ingredients!$A:$W,19,FALSE)*$D14/100</f>
        <v>5.7057773759999986</v>
      </c>
      <c r="T14" s="69">
        <f>VLOOKUP($B14,Ingredients!$A:$W,20,FALSE)*$D14/100</f>
        <v>0</v>
      </c>
      <c r="U14" s="68">
        <f>VLOOKUP($B14,Ingredients!$A:$W,21,FALSE)*$D14/100</f>
        <v>0</v>
      </c>
      <c r="V14" s="70">
        <f>VLOOKUP($B14,Ingredients!$A:$W,22,FALSE)*$D14/100</f>
        <v>0</v>
      </c>
      <c r="W14" s="67">
        <f>VLOOKUP($B14,Ingredients!$A:$W,23,FALSE)*$D14/100</f>
        <v>6.8435452799999991E-2</v>
      </c>
    </row>
    <row r="15" spans="1:23" x14ac:dyDescent="0.35">
      <c r="A15">
        <v>2</v>
      </c>
      <c r="B15" s="14" t="s">
        <v>24</v>
      </c>
      <c r="C15" s="12">
        <v>0.34379999999999999</v>
      </c>
      <c r="D15" s="17">
        <f>C15*$C$7</f>
        <v>1.9940399999999998</v>
      </c>
      <c r="E15" s="76">
        <f>VLOOKUP($B15,Ingredients!$A:$W,5,FALSE)*$D15/100</f>
        <v>7.5374711999999988</v>
      </c>
      <c r="F15" s="76">
        <f>VLOOKUP($B15,Ingredients!$A:$W,6,FALSE)*$D15/100</f>
        <v>0</v>
      </c>
      <c r="G15" s="67">
        <f>VLOOKUP($B15,Ingredients!$A:$W,7,FALSE)*$D15/100</f>
        <v>0</v>
      </c>
      <c r="H15" s="67">
        <f>VLOOKUP($B15,Ingredients!$A:$W,8,FALSE)*$D15/100</f>
        <v>0</v>
      </c>
      <c r="I15" s="67">
        <f>VLOOKUP($B15,Ingredients!$A:$W,9,FALSE)*$D15/100</f>
        <v>0</v>
      </c>
      <c r="J15" s="68">
        <f>VLOOKUP($B15,Ingredients!$A:$W,10,FALSE)*$D15/100</f>
        <v>0</v>
      </c>
      <c r="K15" s="67">
        <f>VLOOKUP($B15,Ingredients!$A:$W,11,FALSE)*$D15/100</f>
        <v>1.8783856799999998</v>
      </c>
      <c r="L15" s="67">
        <f>VLOOKUP($B15,Ingredients!$A:$W,12,FALSE)*$D15/100</f>
        <v>0</v>
      </c>
      <c r="M15" s="67">
        <f>VLOOKUP($B15,Ingredients!$A:$W,13,FALSE)*$D15/100</f>
        <v>0</v>
      </c>
      <c r="N15" s="67">
        <f>VLOOKUP($B15,Ingredients!$A:$W,14,FALSE)*$D15/100</f>
        <v>6.979139999999999E-2</v>
      </c>
      <c r="O15" s="67">
        <f>VLOOKUP($B15,Ingredients!$A:$W,15,FALSE)*$D15/100</f>
        <v>0</v>
      </c>
      <c r="P15" s="73">
        <f>VLOOKUP($B15,Ingredients!$A:$W,16,FALSE)*$D15/100</f>
        <v>9.9701999999999985E-3</v>
      </c>
      <c r="Q15" s="73">
        <f>VLOOKUP($B15,Ingredients!$A:$W,17,FALSE)*$D15/100</f>
        <v>0</v>
      </c>
      <c r="R15" s="73">
        <f>VLOOKUP($B15,Ingredients!$A:$W,18,FALSE)*$D15/100</f>
        <v>2.9910600000000001</v>
      </c>
      <c r="S15" s="73">
        <f>VLOOKUP($B15,Ingredients!$A:$W,19,FALSE)*$D15/100</f>
        <v>0.19940399999999997</v>
      </c>
      <c r="T15" s="69">
        <f>VLOOKUP($B15,Ingredients!$A:$W,20,FALSE)*$D15/100</f>
        <v>0</v>
      </c>
      <c r="U15" s="68">
        <f>VLOOKUP($B15,Ingredients!$A:$W,21,FALSE)*$D15/100</f>
        <v>0</v>
      </c>
      <c r="V15" s="70">
        <f>VLOOKUP($B15,Ingredients!$A:$W,22,FALSE)*$D15/100</f>
        <v>0</v>
      </c>
      <c r="W15" s="67">
        <f>VLOOKUP($B15,Ingredients!$A:$W,23,FALSE)*$D15/100</f>
        <v>5.9821199999999996E-3</v>
      </c>
    </row>
    <row r="16" spans="1:23" x14ac:dyDescent="0.35">
      <c r="A16">
        <v>3</v>
      </c>
      <c r="B16" s="14" t="s">
        <v>26</v>
      </c>
      <c r="C16" s="12">
        <v>7.85E-2</v>
      </c>
      <c r="D16" s="17">
        <f>C16*$C$7</f>
        <v>0.45529999999999998</v>
      </c>
      <c r="E16" s="76">
        <f>VLOOKUP($B16,Ingredients!$A:$W,5,FALSE)*$D16/100</f>
        <v>1.1245909999999999</v>
      </c>
      <c r="F16" s="76">
        <f>VLOOKUP($B16,Ingredients!$A:$W,6,FALSE)*$D16/100</f>
        <v>0</v>
      </c>
      <c r="G16" s="67">
        <f>VLOOKUP($B16,Ingredients!$A:$W,7,FALSE)*$D16/100</f>
        <v>0</v>
      </c>
      <c r="H16" s="67">
        <f>VLOOKUP($B16,Ingredients!$A:$W,8,FALSE)*$D16/100</f>
        <v>0</v>
      </c>
      <c r="I16" s="67">
        <f>VLOOKUP($B16,Ingredients!$A:$W,9,FALSE)*$D16/100</f>
        <v>0</v>
      </c>
      <c r="J16" s="68">
        <f>VLOOKUP($B16,Ingredients!$A:$W,10,FALSE)*$D16/100</f>
        <v>0</v>
      </c>
      <c r="K16" s="67">
        <f>VLOOKUP($B16,Ingredients!$A:$W,11,FALSE)*$D16/100</f>
        <v>0.45279585</v>
      </c>
      <c r="L16" s="67">
        <f>VLOOKUP($B16,Ingredients!$A:$W,12,FALSE)*$D16/100</f>
        <v>0</v>
      </c>
      <c r="M16" s="67">
        <f>VLOOKUP($B16,Ingredients!$A:$W,13,FALSE)*$D16/100</f>
        <v>0</v>
      </c>
      <c r="N16" s="67">
        <f>VLOOKUP($B16,Ingredients!$A:$W,14,FALSE)*$D16/100</f>
        <v>0</v>
      </c>
      <c r="O16" s="67">
        <f>VLOOKUP($B16,Ingredients!$A:$W,15,FALSE)*$D16/100</f>
        <v>0</v>
      </c>
      <c r="P16" s="73">
        <f>VLOOKUP($B16,Ingredients!$A:$W,16,FALSE)*$D16/100</f>
        <v>0</v>
      </c>
      <c r="Q16" s="73">
        <f>VLOOKUP($B16,Ingredients!$A:$W,17,FALSE)*$D16/100</f>
        <v>1.3659E-3</v>
      </c>
      <c r="R16" s="73">
        <f>VLOOKUP($B16,Ingredients!$A:$W,18,FALSE)*$D16/100</f>
        <v>1.3659E-3</v>
      </c>
      <c r="S16" s="73">
        <f>VLOOKUP($B16,Ingredients!$A:$W,19,FALSE)*$D16/100</f>
        <v>9.1060000000000002E-4</v>
      </c>
      <c r="T16" s="69">
        <f>VLOOKUP($B16,Ingredients!$A:$W,20,FALSE)*$D16/100</f>
        <v>0</v>
      </c>
      <c r="U16" s="68">
        <f>VLOOKUP($B16,Ingredients!$A:$W,21,FALSE)*$D16/100</f>
        <v>0</v>
      </c>
      <c r="V16" s="70">
        <f>VLOOKUP($B16,Ingredients!$A:$W,22,FALSE)*$D16/100</f>
        <v>0</v>
      </c>
      <c r="W16" s="67">
        <f>VLOOKUP($B16,Ingredients!$A:$W,23,FALSE)*$D16/100</f>
        <v>0</v>
      </c>
    </row>
    <row r="17" spans="1:23" x14ac:dyDescent="0.35">
      <c r="A17">
        <v>4</v>
      </c>
      <c r="B17" s="14" t="s">
        <v>75</v>
      </c>
      <c r="C17" s="35">
        <v>7.7000000000000002E-3</v>
      </c>
      <c r="D17" s="17">
        <f t="shared" ref="D17:D18" si="2">C17*$C$7</f>
        <v>4.4659999999999998E-2</v>
      </c>
      <c r="E17" s="76">
        <f>VLOOKUP($B17,Ingredients!$A:$W,5,FALSE)*$D17/100</f>
        <v>0.17015460000000002</v>
      </c>
      <c r="F17" s="76">
        <f>VLOOKUP($B17,Ingredients!$A:$W,6,FALSE)*$D17/100</f>
        <v>0</v>
      </c>
      <c r="G17" s="67">
        <f>VLOOKUP($B17,Ingredients!$A:$W,7,FALSE)*$D17/100</f>
        <v>0</v>
      </c>
      <c r="H17" s="67">
        <f>VLOOKUP($B17,Ingredients!$A:$W,8,FALSE)*$D17/100</f>
        <v>0</v>
      </c>
      <c r="I17" s="67">
        <f>VLOOKUP($B17,Ingredients!$A:$W,9,FALSE)*$D17/100</f>
        <v>0</v>
      </c>
      <c r="J17" s="68">
        <f>VLOOKUP($B17,Ingredients!$A:$W,10,FALSE)*$D17/100</f>
        <v>0</v>
      </c>
      <c r="K17" s="67">
        <f>VLOOKUP($B17,Ingredients!$A:$W,11,FALSE)*$D17/100</f>
        <v>0</v>
      </c>
      <c r="L17" s="67">
        <f>VLOOKUP($B17,Ingredients!$A:$W,12,FALSE)*$D17/100</f>
        <v>0</v>
      </c>
      <c r="M17" s="67">
        <f>VLOOKUP($B17,Ingredients!$A:$W,13,FALSE)*$D17/100</f>
        <v>0</v>
      </c>
      <c r="N17" s="67">
        <f>VLOOKUP($B17,Ingredients!$A:$W,14,FALSE)*$D17/100</f>
        <v>0</v>
      </c>
      <c r="O17" s="67">
        <f>VLOOKUP($B17,Ingredients!$A:$W,15,FALSE)*$D17/100</f>
        <v>0</v>
      </c>
      <c r="P17" s="73">
        <f>VLOOKUP($B17,Ingredients!$A:$W,16,FALSE)*$D17/100</f>
        <v>0</v>
      </c>
      <c r="Q17" s="73">
        <f>VLOOKUP($B17,Ingredients!$A:$W,17,FALSE)*$D17/100</f>
        <v>4.4660000000000004E-3</v>
      </c>
      <c r="R17" s="73">
        <f>VLOOKUP($B17,Ingredients!$A:$W,18,FALSE)*$D17/100</f>
        <v>1.3397999999999998E-2</v>
      </c>
      <c r="S17" s="73">
        <f>VLOOKUP($B17,Ingredients!$A:$W,19,FALSE)*$D17/100</f>
        <v>8.9319999999999992E-4</v>
      </c>
      <c r="T17" s="69">
        <f>VLOOKUP($B17,Ingredients!$A:$W,20,FALSE)*$D17/100</f>
        <v>0</v>
      </c>
      <c r="U17" s="68">
        <f>VLOOKUP($B17,Ingredients!$A:$W,21,FALSE)*$D17/100</f>
        <v>0</v>
      </c>
      <c r="V17" s="70">
        <f>VLOOKUP($B17,Ingredients!$A:$W,22,FALSE)*$D17/100</f>
        <v>0</v>
      </c>
      <c r="W17" s="67">
        <f>VLOOKUP($B17,Ingredients!$A:$W,23,FALSE)*$D17/100</f>
        <v>4.2560979999999998E-2</v>
      </c>
    </row>
    <row r="18" spans="1:23" ht="16.399999999999999" customHeight="1" x14ac:dyDescent="0.35">
      <c r="A18">
        <v>5</v>
      </c>
      <c r="B18" s="14" t="s">
        <v>78</v>
      </c>
      <c r="C18" s="35">
        <v>8.5000000000000006E-3</v>
      </c>
      <c r="D18" s="17">
        <f t="shared" si="2"/>
        <v>4.9300000000000004E-2</v>
      </c>
      <c r="E18" s="76">
        <f>VLOOKUP($B18,Ingredients!$A:$W,5,FALSE)*$D18/100</f>
        <v>0.14937900000000001</v>
      </c>
      <c r="F18" s="76">
        <f>VLOOKUP($B18,Ingredients!$A:$W,6,FALSE)*$D18/100</f>
        <v>0</v>
      </c>
      <c r="G18" s="67">
        <f>VLOOKUP($B18,Ingredients!$A:$W,7,FALSE)*$D18/100</f>
        <v>0</v>
      </c>
      <c r="H18" s="67">
        <f>VLOOKUP($B18,Ingredients!$A:$W,8,FALSE)*$D18/100</f>
        <v>0</v>
      </c>
      <c r="I18" s="67">
        <f>VLOOKUP($B18,Ingredients!$A:$W,9,FALSE)*$D18/100</f>
        <v>0</v>
      </c>
      <c r="J18" s="68">
        <f>VLOOKUP($B18,Ingredients!$A:$W,10,FALSE)*$D18/100</f>
        <v>0</v>
      </c>
      <c r="K18" s="67">
        <f>VLOOKUP($B18,Ingredients!$A:$W,11,FALSE)*$D18/100</f>
        <v>3.6975000000000001E-2</v>
      </c>
      <c r="L18" s="67">
        <f>VLOOKUP($B18,Ingredients!$A:$W,12,FALSE)*$D18/100</f>
        <v>0</v>
      </c>
      <c r="M18" s="67">
        <f>VLOOKUP($B18,Ingredients!$A:$W,13,FALSE)*$D18/100</f>
        <v>0</v>
      </c>
      <c r="N18" s="67">
        <f>VLOOKUP($B18,Ingredients!$A:$W,14,FALSE)*$D18/100</f>
        <v>0</v>
      </c>
      <c r="O18" s="67">
        <f>VLOOKUP($B18,Ingredients!$A:$W,15,FALSE)*$D18/100</f>
        <v>0</v>
      </c>
      <c r="P18" s="73">
        <f>VLOOKUP($B18,Ingredients!$A:$W,16,FALSE)*$D18/100</f>
        <v>0</v>
      </c>
      <c r="Q18" s="73">
        <f>VLOOKUP($B18,Ingredients!$A:$W,17,FALSE)*$D18/100</f>
        <v>0</v>
      </c>
      <c r="R18" s="73">
        <f>VLOOKUP($B18,Ingredients!$A:$W,18,FALSE)*$D18/100</f>
        <v>7.8880000000000006E-2</v>
      </c>
      <c r="S18" s="73">
        <f>VLOOKUP($B18,Ingredients!$A:$W,19,FALSE)*$D18/100</f>
        <v>0</v>
      </c>
      <c r="T18" s="69">
        <f>VLOOKUP($B18,Ingredients!$A:$W,20,FALSE)*$D18/100</f>
        <v>0</v>
      </c>
      <c r="U18" s="68">
        <f>VLOOKUP($B18,Ingredients!$A:$W,21,FALSE)*$D18/100</f>
        <v>0</v>
      </c>
      <c r="V18" s="70">
        <f>VLOOKUP($B18,Ingredients!$A:$W,22,FALSE)*$D18/100</f>
        <v>0</v>
      </c>
      <c r="W18" s="67">
        <f>VLOOKUP($B18,Ingredients!$A:$W,23,FALSE)*$D18/100</f>
        <v>0</v>
      </c>
    </row>
    <row r="19" spans="1:23" x14ac:dyDescent="0.35">
      <c r="A19">
        <v>6</v>
      </c>
      <c r="B19" s="14"/>
      <c r="C19" s="35"/>
      <c r="D19" s="17"/>
      <c r="E19" s="76"/>
      <c r="F19" s="76"/>
      <c r="G19" s="67"/>
      <c r="H19" s="67"/>
      <c r="I19" s="67"/>
      <c r="J19" s="68"/>
      <c r="K19" s="67"/>
      <c r="L19" s="67"/>
      <c r="M19" s="67"/>
      <c r="N19" s="67"/>
      <c r="O19" s="67"/>
      <c r="P19" s="73"/>
      <c r="Q19" s="73"/>
      <c r="R19" s="73"/>
      <c r="S19" s="73"/>
      <c r="T19" s="69"/>
      <c r="U19" s="68"/>
      <c r="V19" s="70"/>
      <c r="W19" s="67"/>
    </row>
    <row r="20" spans="1:23" x14ac:dyDescent="0.35">
      <c r="A20">
        <v>7</v>
      </c>
      <c r="B20" s="14"/>
      <c r="C20" s="35"/>
      <c r="D20" s="17"/>
      <c r="E20" s="76"/>
      <c r="F20" s="76"/>
      <c r="G20" s="67"/>
      <c r="H20" s="67"/>
      <c r="I20" s="67"/>
      <c r="J20" s="68"/>
      <c r="K20" s="67"/>
      <c r="L20" s="67"/>
      <c r="M20" s="67"/>
      <c r="N20" s="67"/>
      <c r="O20" s="67"/>
      <c r="P20" s="73"/>
      <c r="Q20" s="73"/>
      <c r="R20" s="73"/>
      <c r="S20" s="73"/>
      <c r="T20" s="69"/>
      <c r="U20" s="68"/>
      <c r="V20" s="70"/>
      <c r="W20" s="67"/>
    </row>
    <row r="21" spans="1:23" x14ac:dyDescent="0.35">
      <c r="A21">
        <v>8</v>
      </c>
      <c r="B21" s="14"/>
      <c r="C21" s="35"/>
      <c r="D21" s="17"/>
      <c r="E21" s="75"/>
      <c r="F21" s="75"/>
      <c r="G21" s="67"/>
      <c r="H21" s="67"/>
      <c r="I21" s="67"/>
      <c r="J21" s="68"/>
      <c r="K21" s="67"/>
      <c r="L21" s="67"/>
      <c r="M21" s="67"/>
      <c r="N21" s="67"/>
      <c r="O21" s="67"/>
      <c r="P21" s="73"/>
      <c r="Q21" s="73"/>
      <c r="R21" s="73"/>
      <c r="S21" s="73"/>
      <c r="T21" s="69"/>
      <c r="U21" s="68"/>
      <c r="V21" s="70"/>
      <c r="W21" s="67"/>
    </row>
    <row r="22" spans="1:23" x14ac:dyDescent="0.35">
      <c r="A22">
        <v>9</v>
      </c>
      <c r="B22" s="14"/>
      <c r="C22" s="35"/>
      <c r="D22" s="17"/>
      <c r="E22" s="75"/>
      <c r="F22" s="75"/>
      <c r="G22" s="67"/>
      <c r="H22" s="67"/>
      <c r="I22" s="67"/>
      <c r="J22" s="68"/>
      <c r="K22" s="67"/>
      <c r="L22" s="67"/>
      <c r="M22" s="67"/>
      <c r="N22" s="67"/>
      <c r="O22" s="67"/>
      <c r="P22" s="73"/>
      <c r="Q22" s="73"/>
      <c r="R22" s="73"/>
      <c r="S22" s="73"/>
      <c r="T22" s="69"/>
      <c r="U22" s="68"/>
      <c r="V22" s="70"/>
      <c r="W22" s="67"/>
    </row>
    <row r="23" spans="1:23" x14ac:dyDescent="0.35">
      <c r="A23">
        <v>10</v>
      </c>
      <c r="B23" s="14"/>
      <c r="C23" s="13"/>
      <c r="D23" s="17"/>
      <c r="E23" s="75"/>
      <c r="F23" s="75"/>
      <c r="G23" s="67"/>
      <c r="H23" s="67"/>
      <c r="I23" s="67"/>
      <c r="J23" s="68"/>
      <c r="K23" s="67"/>
      <c r="L23" s="67"/>
      <c r="M23" s="67"/>
      <c r="N23" s="67"/>
      <c r="O23" s="67"/>
      <c r="P23" s="73"/>
      <c r="Q23" s="73"/>
      <c r="R23" s="73"/>
      <c r="S23" s="73"/>
      <c r="T23" s="69"/>
      <c r="U23" s="68"/>
      <c r="V23" s="70"/>
      <c r="W23" s="67"/>
    </row>
    <row r="24" spans="1:23" x14ac:dyDescent="0.35">
      <c r="A24">
        <v>11</v>
      </c>
      <c r="B24" s="14"/>
      <c r="C24" s="13"/>
      <c r="D24" s="17"/>
      <c r="E24" s="75"/>
      <c r="F24" s="75"/>
      <c r="G24" s="67"/>
      <c r="H24" s="67"/>
      <c r="I24" s="67"/>
      <c r="J24" s="68"/>
      <c r="K24" s="67"/>
      <c r="L24" s="67"/>
      <c r="M24" s="67"/>
      <c r="N24" s="67"/>
      <c r="O24" s="67"/>
      <c r="P24" s="73"/>
      <c r="Q24" s="73"/>
      <c r="R24" s="73"/>
      <c r="S24" s="73"/>
      <c r="T24" s="69"/>
      <c r="U24" s="68"/>
      <c r="V24" s="70"/>
      <c r="W24" s="67"/>
    </row>
    <row r="25" spans="1:23" x14ac:dyDescent="0.35">
      <c r="A25">
        <v>12</v>
      </c>
      <c r="B25" s="14"/>
      <c r="C25" s="13"/>
      <c r="D25" s="17"/>
      <c r="E25" s="75"/>
      <c r="F25" s="75"/>
      <c r="G25" s="67"/>
      <c r="H25" s="67"/>
      <c r="I25" s="67"/>
      <c r="J25" s="68"/>
      <c r="K25" s="67"/>
      <c r="L25" s="67"/>
      <c r="M25" s="67"/>
      <c r="N25" s="67"/>
      <c r="O25" s="67"/>
      <c r="P25" s="73"/>
      <c r="Q25" s="73"/>
      <c r="R25" s="73"/>
      <c r="S25" s="73"/>
      <c r="T25" s="69"/>
      <c r="U25" s="68"/>
      <c r="V25" s="70"/>
      <c r="W25" s="67"/>
    </row>
    <row r="26" spans="1:23" x14ac:dyDescent="0.35">
      <c r="A26">
        <v>13</v>
      </c>
      <c r="B26" s="14"/>
      <c r="C26" s="13"/>
      <c r="D26" s="17"/>
      <c r="E26" s="75"/>
      <c r="F26" s="75"/>
      <c r="G26" s="67"/>
      <c r="H26" s="67"/>
      <c r="I26" s="67"/>
      <c r="J26" s="68"/>
      <c r="K26" s="67"/>
      <c r="L26" s="67"/>
      <c r="M26" s="67"/>
      <c r="N26" s="67"/>
      <c r="O26" s="67"/>
      <c r="P26" s="73"/>
      <c r="Q26" s="73"/>
      <c r="R26" s="73"/>
      <c r="S26" s="73"/>
      <c r="T26" s="69"/>
      <c r="U26" s="68"/>
      <c r="V26" s="70"/>
      <c r="W26" s="67"/>
    </row>
    <row r="27" spans="1:23" x14ac:dyDescent="0.35">
      <c r="A27">
        <v>14</v>
      </c>
      <c r="B27" s="14"/>
      <c r="C27" s="13"/>
      <c r="D27" s="17"/>
      <c r="E27" s="75"/>
      <c r="F27" s="75"/>
      <c r="G27" s="67"/>
      <c r="H27" s="67"/>
      <c r="I27" s="67"/>
      <c r="J27" s="68"/>
      <c r="K27" s="67"/>
      <c r="L27" s="67"/>
      <c r="M27" s="67"/>
      <c r="N27" s="67"/>
      <c r="O27" s="67"/>
      <c r="P27" s="73"/>
      <c r="Q27" s="73"/>
      <c r="R27" s="73"/>
      <c r="S27" s="73"/>
      <c r="T27" s="69"/>
      <c r="U27" s="68"/>
      <c r="V27" s="70"/>
      <c r="W27" s="67"/>
    </row>
    <row r="28" spans="1:23" x14ac:dyDescent="0.35">
      <c r="A28">
        <v>15</v>
      </c>
      <c r="B28" s="14"/>
      <c r="C28" s="13"/>
      <c r="D28" s="17"/>
      <c r="E28" s="75"/>
      <c r="F28" s="75"/>
      <c r="G28" s="67"/>
      <c r="H28" s="67"/>
      <c r="I28" s="67"/>
      <c r="J28" s="68"/>
      <c r="K28" s="67"/>
      <c r="L28" s="67"/>
      <c r="M28" s="67"/>
      <c r="N28" s="67"/>
      <c r="O28" s="67"/>
      <c r="P28" s="73"/>
      <c r="Q28" s="73"/>
      <c r="R28" s="73"/>
      <c r="S28" s="73"/>
      <c r="T28" s="69"/>
      <c r="U28" s="68"/>
      <c r="V28" s="70"/>
      <c r="W28" s="67"/>
    </row>
    <row r="29" spans="1:23" x14ac:dyDescent="0.35">
      <c r="A29">
        <v>16</v>
      </c>
      <c r="B29" s="14"/>
      <c r="C29" s="13"/>
      <c r="D29" s="17"/>
      <c r="E29" s="15"/>
      <c r="F29" s="15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</row>
    <row r="30" spans="1:23" x14ac:dyDescent="0.35">
      <c r="A30">
        <v>17</v>
      </c>
      <c r="B30" s="14"/>
      <c r="C30" s="13"/>
      <c r="D30" s="17"/>
      <c r="E30" s="15"/>
      <c r="F30" s="15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</row>
    <row r="31" spans="1:23" x14ac:dyDescent="0.35">
      <c r="A31">
        <v>18</v>
      </c>
      <c r="B31" s="14"/>
      <c r="C31" s="13"/>
      <c r="D31" s="17"/>
      <c r="E31" s="15"/>
      <c r="F31" s="15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</row>
    <row r="32" spans="1:23" x14ac:dyDescent="0.35">
      <c r="A32">
        <v>19</v>
      </c>
      <c r="B32" s="14"/>
      <c r="C32" s="13"/>
      <c r="D32" s="17"/>
      <c r="E32" s="15"/>
      <c r="F32" s="15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</row>
    <row r="33" spans="1:23" x14ac:dyDescent="0.35">
      <c r="A33">
        <v>20</v>
      </c>
      <c r="B33" s="14"/>
      <c r="C33" s="13"/>
      <c r="D33" s="17"/>
      <c r="E33" s="15"/>
      <c r="F33" s="15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</row>
    <row r="34" spans="1:23" x14ac:dyDescent="0.35">
      <c r="A34">
        <v>21</v>
      </c>
      <c r="B34" s="14"/>
      <c r="C34" s="13"/>
      <c r="D34" s="17"/>
      <c r="E34" s="15"/>
      <c r="F34" s="15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</row>
  </sheetData>
  <mergeCells count="1">
    <mergeCell ref="E9:W9"/>
  </mergeCells>
  <pageMargins left="0.7" right="0.7" top="0.75" bottom="0.75" header="0.3" footer="0.3"/>
  <pageSetup orientation="portrait" r:id="rId1"/>
  <headerFooter>
    <oddHeader>&amp;R&amp;"Calibri"&amp;10&amp;K000000Highly Restricted&amp;1#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08366F-7483-440E-8AC8-38E8E1128951}">
          <x14:formula1>
            <xm:f>Ingredients!$A$3:$A$1048576</xm:f>
          </x14:formula1>
          <xm:sqref>B14:B34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D2069-C4CA-4AF6-9734-17FC88D0C6BE}">
  <dimension ref="A1:K72"/>
  <sheetViews>
    <sheetView topLeftCell="A21" zoomScaleNormal="100" workbookViewId="0">
      <selection activeCell="E23" sqref="E23"/>
    </sheetView>
  </sheetViews>
  <sheetFormatPr defaultColWidth="9.1796875" defaultRowHeight="14.5" x14ac:dyDescent="0.35"/>
  <cols>
    <col min="1" max="1" width="17.453125" bestFit="1" customWidth="1"/>
    <col min="2" max="2" width="8.81640625" bestFit="1" customWidth="1"/>
    <col min="3" max="3" width="30.54296875" bestFit="1" customWidth="1"/>
    <col min="4" max="4" width="33" customWidth="1"/>
    <col min="5" max="5" width="31.54296875" bestFit="1" customWidth="1"/>
    <col min="6" max="6" width="26.453125" customWidth="1"/>
    <col min="7" max="7" width="27.1796875" customWidth="1"/>
    <col min="8" max="8" width="23.54296875" customWidth="1"/>
    <col min="9" max="9" width="6.81640625" bestFit="1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.81640625" bestFit="1" customWidth="1"/>
    <col min="14" max="14" width="8.1796875" bestFit="1" customWidth="1"/>
    <col min="15" max="15" width="9.453125" bestFit="1" customWidth="1"/>
    <col min="16" max="16" width="8.1796875" bestFit="1" customWidth="1"/>
    <col min="17" max="17" width="7.54296875" bestFit="1" customWidth="1"/>
  </cols>
  <sheetData>
    <row r="1" spans="1:9" x14ac:dyDescent="0.35">
      <c r="A1" s="13" t="s">
        <v>36</v>
      </c>
    </row>
    <row r="2" spans="1:9" x14ac:dyDescent="0.35">
      <c r="A2" t="s">
        <v>94</v>
      </c>
      <c r="B2" s="13" t="s">
        <v>142</v>
      </c>
      <c r="D2" t="str">
        <f>A2&amp;" "&amp; B2</f>
        <v>Formulation STCFX</v>
      </c>
      <c r="G2" cm="1">
        <f t="array" aca="1" ref="G2" ca="1">INDIRECT("'"&amp;D2&amp;"'!C7")</f>
        <v>5.8</v>
      </c>
      <c r="H2" t="s">
        <v>46</v>
      </c>
      <c r="I2" t="s">
        <v>99</v>
      </c>
    </row>
    <row r="3" spans="1:9" x14ac:dyDescent="0.35">
      <c r="A3" t="str">
        <f>'Formulation STOF2'!B6</f>
        <v>Smooth Texture Sugar Free Orange Natural Dyes</v>
      </c>
      <c r="D3" t="s">
        <v>44</v>
      </c>
      <c r="E3" t="s">
        <v>45</v>
      </c>
      <c r="G3" s="27" cm="1">
        <f t="array" aca="1" ref="G3" ca="1">INDIRECT("'"&amp;D2&amp;"'!D6")</f>
        <v>11.6</v>
      </c>
      <c r="H3" t="s">
        <v>46</v>
      </c>
      <c r="I3" t="s">
        <v>100</v>
      </c>
    </row>
    <row r="5" spans="1:9" ht="15.5" x14ac:dyDescent="0.35">
      <c r="A5" s="146" t="s">
        <v>104</v>
      </c>
      <c r="B5" t="s">
        <v>101</v>
      </c>
      <c r="C5" s="18">
        <f ca="1">(4*F24)+(4*C10)+(9*C31)</f>
        <v>21.571961483199999</v>
      </c>
      <c r="D5" s="50" t="s">
        <v>95</v>
      </c>
      <c r="E5" s="74" t="s">
        <v>96</v>
      </c>
      <c r="F5" s="74" t="s">
        <v>98</v>
      </c>
    </row>
    <row r="6" spans="1:9" ht="15.5" x14ac:dyDescent="0.35">
      <c r="A6" s="146"/>
      <c r="B6" t="s">
        <v>102</v>
      </c>
      <c r="C6" s="18">
        <f ca="1">(4*F24)+(9*C31)+(4*(C10-D10))+(2*D10)</f>
        <v>16.112760203199997</v>
      </c>
      <c r="D6" s="50" t="s">
        <v>95</v>
      </c>
      <c r="E6" s="74" t="s">
        <v>97</v>
      </c>
      <c r="F6" s="74" t="s">
        <v>115</v>
      </c>
    </row>
    <row r="7" spans="1:9" ht="15.5" x14ac:dyDescent="0.35">
      <c r="A7" s="146"/>
      <c r="B7" t="s">
        <v>103</v>
      </c>
      <c r="C7" s="18">
        <f ca="1">(4*F24)+(9*C31)+(4*(C10-D10))+(2*E10)</f>
        <v>15.246323723199998</v>
      </c>
      <c r="D7" s="50" t="s">
        <v>95</v>
      </c>
      <c r="E7" s="74" t="s">
        <v>97</v>
      </c>
      <c r="F7" s="74" t="s">
        <v>116</v>
      </c>
    </row>
    <row r="8" spans="1:9" s="51" customFormat="1" ht="7" customHeight="1" x14ac:dyDescent="0.35">
      <c r="C8" s="52"/>
      <c r="D8" s="53"/>
      <c r="E8" s="53"/>
    </row>
    <row r="9" spans="1:9" ht="30" customHeight="1" x14ac:dyDescent="0.35">
      <c r="A9" s="150" t="s">
        <v>49</v>
      </c>
      <c r="B9" s="18"/>
      <c r="C9" s="1" t="str">
        <f ca="1">'Nutrition STONF'!C9</f>
        <v>Total carbohydrate</v>
      </c>
      <c r="D9" s="1" t="str">
        <f ca="1">'Nutrition STONF'!D9</f>
        <v>Total dietary fiber</v>
      </c>
      <c r="E9" s="1" t="str">
        <f ca="1">'Nutrition STONF'!E9</f>
        <v>Soluble fiber</v>
      </c>
    </row>
    <row r="10" spans="1:9" x14ac:dyDescent="0.35">
      <c r="A10" s="150"/>
      <c r="B10" s="18" t="s">
        <v>50</v>
      </c>
      <c r="C10" s="21" cm="1">
        <f t="array" aca="1" ref="C10" ca="1">INDIRECT("'"&amp;D2&amp;"'!K8")</f>
        <v>5.2019901299999995</v>
      </c>
      <c r="D10" s="21" cm="1">
        <f t="array" aca="1" ref="D10" ca="1">INDIRECT("'"&amp;D2&amp;"'!L8")</f>
        <v>2.7296006399999997</v>
      </c>
      <c r="E10" s="21" cm="1">
        <f t="array" aca="1" ref="E10" ca="1">INDIRECT("'"&amp;D2&amp;"'!M8")</f>
        <v>2.2963823999999997</v>
      </c>
    </row>
    <row r="11" spans="1:9" x14ac:dyDescent="0.35">
      <c r="A11" s="150"/>
      <c r="B11" s="18" t="s">
        <v>51</v>
      </c>
      <c r="C11" s="1">
        <f>'Nutrition STONF'!C11</f>
        <v>275</v>
      </c>
      <c r="D11" s="1">
        <f>'Nutrition STONF'!D11</f>
        <v>28</v>
      </c>
      <c r="E11" s="1" t="str">
        <f>'Nutrition STONF'!E11</f>
        <v>NA</v>
      </c>
    </row>
    <row r="12" spans="1:9" x14ac:dyDescent="0.35">
      <c r="A12" s="150"/>
      <c r="B12" s="18" t="s">
        <v>53</v>
      </c>
      <c r="C12" s="26">
        <f ca="1">C10/C11</f>
        <v>1.8916327745454545E-2</v>
      </c>
      <c r="D12" s="26">
        <f ca="1">D10/D11</f>
        <v>9.7485737142857132E-2</v>
      </c>
      <c r="E12" s="26" t="s">
        <v>52</v>
      </c>
    </row>
    <row r="13" spans="1:9" ht="127" customHeight="1" x14ac:dyDescent="0.35">
      <c r="A13" s="150"/>
      <c r="B13" s="18"/>
      <c r="C13" s="1" t="str">
        <f>'Nutrition STONF'!C13</f>
        <v>&lt; 0.5g - express as 0
&lt; 1g - express as "contains less than 1g" or "less than 1g"
≥1g - express to nearest 1g increment
Insignificant amount is &lt; 1g</v>
      </c>
      <c r="D13" s="1" t="str">
        <f>'Nutrition STONF'!D13</f>
        <v>&lt; 0.5g - express as 0
&lt; 1g - express as "contains less than 1g" or "less than 1g"
≥1g - express to nearest 1g increment
Insignificant amount is &lt; 1g</v>
      </c>
      <c r="E13" s="1" t="str">
        <f>'Nutrition STONF'!E13</f>
        <v>- Label value  based on calculation of psyllium being 70% soluble fiber (3.4g psyllium * 0.70 = 2.4g)
&lt; 0.5g - express as 0
&lt; 1g - express as "contains less than 1g" or "less than 1g"
≥1g - express to nearest 1g increment
Insignificant amount is &lt; 0.5g</v>
      </c>
    </row>
    <row r="14" spans="1:9" x14ac:dyDescent="0.35">
      <c r="A14" s="150"/>
      <c r="B14" s="18" t="s">
        <v>56</v>
      </c>
      <c r="C14" s="31" t="s">
        <v>57</v>
      </c>
      <c r="D14" s="31" t="s">
        <v>58</v>
      </c>
      <c r="E14" s="31" t="s">
        <v>59</v>
      </c>
    </row>
    <row r="16" spans="1:9" x14ac:dyDescent="0.35">
      <c r="A16" s="150" t="s">
        <v>49</v>
      </c>
      <c r="B16" s="18"/>
      <c r="C16" s="1" t="str">
        <f>'Nutrition STONF'!C16</f>
        <v>Iron [Mandatory]</v>
      </c>
      <c r="D16" s="1" t="str">
        <f>'Nutrition STONF'!D16</f>
        <v>Potassium [Mandatory]</v>
      </c>
      <c r="E16" s="1" t="str">
        <f>'Nutrition STONF'!E16</f>
        <v>Calcium [Mandatory]</v>
      </c>
    </row>
    <row r="17" spans="1:6" x14ac:dyDescent="0.35">
      <c r="A17" s="150"/>
      <c r="B17" s="18" t="s">
        <v>50</v>
      </c>
      <c r="C17" s="22" cm="1">
        <f t="array" aca="1" ref="C17" ca="1">INDIRECT("'"&amp;D2&amp;"'!P8")</f>
        <v>0.26403803999999997</v>
      </c>
      <c r="D17" s="22" cm="1">
        <f t="array" aca="1" ref="D17" ca="1">INDIRECT("'"&amp;D2&amp;"'!Q8")</f>
        <v>27.594993499999998</v>
      </c>
      <c r="E17" s="22" cm="1">
        <f t="array" aca="1" ref="E17" ca="1">INDIRECT("'"&amp;D2&amp;"'!S8")</f>
        <v>5.9069851759999992</v>
      </c>
    </row>
    <row r="18" spans="1:6" x14ac:dyDescent="0.35">
      <c r="A18" s="150"/>
      <c r="B18" s="18" t="s">
        <v>51</v>
      </c>
      <c r="C18" s="1">
        <f>'Nutrition STONF'!C18</f>
        <v>18</v>
      </c>
      <c r="D18" s="1">
        <f>'Nutrition STONF'!D18</f>
        <v>4700</v>
      </c>
      <c r="E18" s="1">
        <f>'Nutrition STONF'!E18</f>
        <v>1300</v>
      </c>
    </row>
    <row r="19" spans="1:6" x14ac:dyDescent="0.35">
      <c r="A19" s="150"/>
      <c r="B19" s="18" t="s">
        <v>53</v>
      </c>
      <c r="C19" s="26">
        <f ca="1">C17/C18</f>
        <v>1.4668779999999999E-2</v>
      </c>
      <c r="D19" s="26">
        <f t="shared" ref="D19:E19" ca="1" si="0">D17/D18</f>
        <v>5.8712752127659572E-3</v>
      </c>
      <c r="E19" s="26">
        <f t="shared" ca="1" si="0"/>
        <v>4.5438347507692298E-3</v>
      </c>
    </row>
    <row r="20" spans="1:6" ht="39" x14ac:dyDescent="0.35">
      <c r="A20" s="150"/>
      <c r="B20" s="18"/>
      <c r="C20" s="1" t="str">
        <f>'Nutrition STONF'!C20</f>
        <v>&lt;2% DV: shall not be declared 
&gt; 2% DV: round to nearest 0.1 mg and round to nearest % DV</v>
      </c>
      <c r="D20" s="1" t="str">
        <f>'Nutrition STONF'!D20</f>
        <v>&lt;2% DV: shall not be declared 
&gt; 2% DV: round to nearest 10 mg and round to nearest % DV</v>
      </c>
      <c r="E20" s="1" t="str">
        <f>'Nutrition STONF'!E20</f>
        <v>&lt;2% DV: shall not be declared 
&gt; 2% DV: round to nearest 10 mg and round to nearest % DV</v>
      </c>
    </row>
    <row r="21" spans="1:6" ht="29" x14ac:dyDescent="0.35">
      <c r="A21" s="150"/>
      <c r="B21" s="18" t="s">
        <v>56</v>
      </c>
      <c r="C21" s="31" t="s">
        <v>140</v>
      </c>
      <c r="D21" s="31" t="s">
        <v>60</v>
      </c>
      <c r="E21" s="31" t="s">
        <v>179</v>
      </c>
    </row>
    <row r="23" spans="1:6" x14ac:dyDescent="0.35">
      <c r="A23" s="150" t="s">
        <v>49</v>
      </c>
      <c r="B23" s="18"/>
      <c r="C23" s="1" t="str">
        <f>'Nutrition STONF'!C23</f>
        <v>Vitamin A [Voluntary]</v>
      </c>
      <c r="D23" s="1" t="str">
        <f>'Nutrition STONF'!D23</f>
        <v>Vitamin C [Voluntary]</v>
      </c>
      <c r="E23" s="1" t="str">
        <f>'Nutrition STONF'!E23</f>
        <v>Vitamin D [Mandatory]</v>
      </c>
      <c r="F23" s="1" t="str">
        <f>'Nutrition STONF'!F23</f>
        <v>Protein</v>
      </c>
    </row>
    <row r="24" spans="1:6" x14ac:dyDescent="0.35">
      <c r="A24" s="150"/>
      <c r="B24" s="18" t="s">
        <v>50</v>
      </c>
      <c r="C24" s="23" cm="1">
        <f t="array" aca="1" ref="C24" ca="1">INDIRECT("'"&amp;D2&amp;"'!T8")</f>
        <v>0</v>
      </c>
      <c r="D24" s="24" cm="1">
        <f t="array" aca="1" ref="D24" ca="1">INDIRECT("'"&amp;D2&amp;"'!U8")</f>
        <v>0</v>
      </c>
      <c r="E24" s="24" cm="1">
        <f t="array" aca="1" ref="E24" ca="1">INDIRECT("'"&amp;D2&amp;"'!V8")</f>
        <v>0</v>
      </c>
      <c r="F24" s="21" cm="1">
        <f t="array" aca="1" ref="F24" ca="1">INDIRECT("'"&amp;D2&amp;"'!W8")</f>
        <v>0.11697855279999998</v>
      </c>
    </row>
    <row r="25" spans="1:6" x14ac:dyDescent="0.35">
      <c r="A25" s="150"/>
      <c r="B25" s="18" t="s">
        <v>51</v>
      </c>
      <c r="C25" s="1" t="str">
        <f>'Nutrition STONF'!C25</f>
        <v>900 mcg RAE</v>
      </c>
      <c r="D25" s="1">
        <f>'Nutrition STONF'!D25</f>
        <v>90</v>
      </c>
      <c r="E25" s="1" t="str">
        <f>'Nutrition STONF'!E25</f>
        <v>20 microgram</v>
      </c>
      <c r="F25" s="1" t="str">
        <f>'Nutrition STONF'!F25</f>
        <v>NA</v>
      </c>
    </row>
    <row r="26" spans="1:6" x14ac:dyDescent="0.35">
      <c r="A26" s="150"/>
      <c r="B26" s="18" t="s">
        <v>53</v>
      </c>
      <c r="C26" s="26" t="s">
        <v>52</v>
      </c>
      <c r="D26" s="26" t="s">
        <v>52</v>
      </c>
      <c r="E26" s="26">
        <f ca="1">E24/20</f>
        <v>0</v>
      </c>
      <c r="F26" s="26" t="s">
        <v>52</v>
      </c>
    </row>
    <row r="27" spans="1:6" ht="78" x14ac:dyDescent="0.35">
      <c r="A27" s="150"/>
      <c r="B27" s="18"/>
      <c r="C27" s="1" t="str">
        <f>'Nutrition STONF'!C27</f>
        <v>&lt;2% DV: shall not be declared 
&gt; 2% DV: round to nearest 10 mcg RAE and round to nearest % DV</v>
      </c>
      <c r="D27" s="1" t="str">
        <f>'Nutrition STONF'!D27</f>
        <v>&lt;2% DV: shall not be declared 
&gt; 2% DV: round to nearest 1 mg and round to nearest % DV</v>
      </c>
      <c r="E27" s="1" t="str">
        <f>'Nutrition STONF'!E27</f>
        <v>&lt;2% DV: shall not be declared 
&gt; 2% DV: round to nearest 0.1 mcg and round to nearest % DV</v>
      </c>
      <c r="F27" s="1" t="str">
        <f>'Nutrition STONF'!F27</f>
        <v>&lt; 0.5g - express as 0
&lt; 1g - express as "contains less than 1g" or "less than 1g"
≥1g - express to nearest 1g increment
Insignificant amount is &lt; 0.5g</v>
      </c>
    </row>
    <row r="28" spans="1:6" x14ac:dyDescent="0.35">
      <c r="A28" s="150"/>
      <c r="B28" s="18" t="s">
        <v>56</v>
      </c>
      <c r="C28" s="31" t="s">
        <v>62</v>
      </c>
      <c r="D28" s="31" t="s">
        <v>62</v>
      </c>
      <c r="E28" s="31">
        <v>0</v>
      </c>
      <c r="F28" s="31" t="s">
        <v>63</v>
      </c>
    </row>
    <row r="30" spans="1:6" x14ac:dyDescent="0.35">
      <c r="A30" s="149" t="s">
        <v>64</v>
      </c>
      <c r="B30" s="18"/>
      <c r="C30" s="1" t="str">
        <f>'Nutrition STONF'!C30</f>
        <v>Total Fat</v>
      </c>
      <c r="D30" s="1" t="str">
        <f>'Nutrition STONF'!D30</f>
        <v>Saturated Fat</v>
      </c>
      <c r="E30" s="1" t="str">
        <f>'Nutrition STONF'!E30</f>
        <v>Trans Fat</v>
      </c>
      <c r="F30" s="1" t="str">
        <f>'Nutrition STONF'!F30</f>
        <v>Cholesterol</v>
      </c>
    </row>
    <row r="31" spans="1:6" x14ac:dyDescent="0.35">
      <c r="A31" s="149"/>
      <c r="B31" s="18" t="s">
        <v>50</v>
      </c>
      <c r="C31" s="21" cm="1">
        <f t="array" aca="1" ref="C31" ca="1">INDIRECT("'"&amp;D2&amp;"'!G8")</f>
        <v>3.2898527999999996E-2</v>
      </c>
      <c r="D31" s="21" cm="1">
        <f t="array" aca="1" ref="D31" ca="1">INDIRECT("'"&amp;D2&amp;"'!H8")</f>
        <v>5.4070847999999998E-3</v>
      </c>
      <c r="E31" s="21" cm="1">
        <f t="array" aca="1" ref="E31" ca="1">INDIRECT("'"&amp;D2&amp;"'!I8")</f>
        <v>0</v>
      </c>
      <c r="F31" s="21" cm="1">
        <f t="array" aca="1" ref="F31" ca="1">INDIRECT("'"&amp;D2&amp;"'!J8")</f>
        <v>0</v>
      </c>
    </row>
    <row r="32" spans="1:6" x14ac:dyDescent="0.35">
      <c r="A32" s="149"/>
      <c r="B32" s="18" t="s">
        <v>51</v>
      </c>
      <c r="C32" s="1">
        <f>'Nutrition STONF'!C32</f>
        <v>78</v>
      </c>
      <c r="D32" s="1">
        <f>'Nutrition STONF'!D32</f>
        <v>20</v>
      </c>
      <c r="E32" s="1" t="str">
        <f>'Nutrition STONF'!E32</f>
        <v>NA</v>
      </c>
      <c r="F32" s="1" t="str">
        <f>'Nutrition STONF'!F32</f>
        <v>300 mg</v>
      </c>
    </row>
    <row r="33" spans="1:11" x14ac:dyDescent="0.35">
      <c r="A33" s="149"/>
      <c r="B33" s="18" t="s">
        <v>53</v>
      </c>
      <c r="C33" s="26" t="s">
        <v>52</v>
      </c>
      <c r="D33" s="26" t="s">
        <v>52</v>
      </c>
      <c r="E33" s="26" t="s">
        <v>52</v>
      </c>
      <c r="F33" s="26" t="s">
        <v>52</v>
      </c>
    </row>
    <row r="34" spans="1:11" ht="73.400000000000006" customHeight="1" x14ac:dyDescent="0.35">
      <c r="A34" s="149"/>
      <c r="B34" s="18"/>
      <c r="C34" s="1" t="str">
        <f>'Nutrition STONF'!C34</f>
        <v xml:space="preserve">&lt; 0.5g - express as 0
&lt; 5 g - nearest 0.5 g increment
&gt; 5 g: nearest 1 g increment
</v>
      </c>
      <c r="D34" s="1" t="str">
        <f>'Nutrition STONF'!D34</f>
        <v xml:space="preserve">&lt; 0.5g - express as 0
&lt; 5 g - nearest 0.5 g increment
&gt; 5 g: nearest 1 g increment
</v>
      </c>
      <c r="E34" s="1" t="str">
        <f>'Nutrition STONF'!E34</f>
        <v xml:space="preserve">&lt; 0.5g - express as 0
&lt; 5 g - nearest 0.5 g increment
&gt; 5 g: nearest 1 g increment
</v>
      </c>
      <c r="F34" s="1" t="str">
        <f>'Nutrition STONF'!F34</f>
        <v>&lt; 2mg: express as 0
2-5 mg: "less than 5 mg"
&gt; 5 mg: 5 mg increment</v>
      </c>
    </row>
    <row r="35" spans="1:11" x14ac:dyDescent="0.35">
      <c r="A35" s="149"/>
      <c r="B35" s="18" t="s">
        <v>56</v>
      </c>
      <c r="C35" s="31" t="s">
        <v>62</v>
      </c>
      <c r="D35" s="31" t="s">
        <v>62</v>
      </c>
      <c r="E35" s="31" t="s">
        <v>62</v>
      </c>
      <c r="F35" s="31" t="s">
        <v>62</v>
      </c>
    </row>
    <row r="37" spans="1:11" ht="30" customHeight="1" x14ac:dyDescent="0.35">
      <c r="A37" s="149" t="s">
        <v>64</v>
      </c>
      <c r="B37" s="18"/>
      <c r="C37" s="1" t="str">
        <f ca="1">'Nutrition STONF'!C37</f>
        <v>Calories (US Rules)</v>
      </c>
      <c r="D37" s="1" t="str">
        <f>'Nutrition STONF'!D37</f>
        <v>Calories from Fat</v>
      </c>
      <c r="E37" s="1" t="str">
        <f ca="1">'Nutrition STONF'!E37</f>
        <v xml:space="preserve">Sugar </v>
      </c>
      <c r="F37" s="1" t="str">
        <f ca="1">'Nutrition STONF'!F37</f>
        <v>Added Sugars</v>
      </c>
      <c r="G37" s="1" t="str">
        <f ca="1">'Nutrition STONF'!G37</f>
        <v>Sodium</v>
      </c>
    </row>
    <row r="38" spans="1:11" x14ac:dyDescent="0.35">
      <c r="A38" s="149"/>
      <c r="B38" s="18" t="s">
        <v>50</v>
      </c>
      <c r="C38" s="20">
        <f ca="1">C7</f>
        <v>15.246323723199998</v>
      </c>
      <c r="D38" s="20" cm="1">
        <f t="array" aca="1" ref="D38" ca="1">INDIRECT("'"&amp;D2&amp;"'!F8")</f>
        <v>0.14077964159999998</v>
      </c>
      <c r="E38" s="21" cm="1">
        <f t="array" aca="1" ref="E38" ca="1">INDIRECT("'"&amp;D2&amp;"'!N8")</f>
        <v>7.3048679999999991E-2</v>
      </c>
      <c r="F38" s="21" cm="1">
        <f t="array" aca="1" ref="F38" ca="1">INDIRECT("'"&amp;D2&amp;"'!O8")</f>
        <v>0</v>
      </c>
      <c r="G38" s="22" cm="1">
        <f t="array" aca="1" ref="G38" ca="1">INDIRECT("'"&amp;D2&amp;"'!R8")</f>
        <v>5.3762003799999993</v>
      </c>
    </row>
    <row r="39" spans="1:11" x14ac:dyDescent="0.35">
      <c r="A39" s="149"/>
      <c r="B39" s="18" t="s">
        <v>51</v>
      </c>
      <c r="C39" s="1" t="str">
        <f>'Nutrition STONF'!C39</f>
        <v>NA</v>
      </c>
      <c r="D39" s="1" t="str">
        <f>'Nutrition STONF'!D39</f>
        <v>NA</v>
      </c>
      <c r="E39" s="1" t="str">
        <f>'Nutrition STONF'!E39</f>
        <v>NA</v>
      </c>
      <c r="F39" s="1">
        <f>'Nutrition STONF'!F39</f>
        <v>50</v>
      </c>
      <c r="G39" s="1">
        <f>'Nutrition STONF'!G39</f>
        <v>2300</v>
      </c>
    </row>
    <row r="40" spans="1:11" x14ac:dyDescent="0.35">
      <c r="A40" s="149"/>
      <c r="B40" s="18" t="s">
        <v>53</v>
      </c>
      <c r="C40" s="25" t="s">
        <v>52</v>
      </c>
      <c r="D40" s="25" t="s">
        <v>52</v>
      </c>
      <c r="E40" s="26" t="s">
        <v>52</v>
      </c>
      <c r="F40" s="26">
        <f t="shared" ref="F40:G40" ca="1" si="1">F38/F39</f>
        <v>0</v>
      </c>
      <c r="G40" s="26">
        <f t="shared" ca="1" si="1"/>
        <v>2.3374784260869561E-3</v>
      </c>
    </row>
    <row r="41" spans="1:11" ht="193.4" customHeight="1" x14ac:dyDescent="0.35">
      <c r="A41" s="149"/>
      <c r="B41" s="18"/>
      <c r="C41" s="1" t="str">
        <f>'Nutrition STONF'!C41</f>
        <v>&lt; 5 cal - express as 0
≤ 50 cal - express to nearest 5 cal increment
&gt; 50 cal - express to nearest 10 cal increment
Insignificant amount is &lt; 5 cal</v>
      </c>
      <c r="D41" s="1" t="str">
        <f>'Nutrition STONF'!D41</f>
        <v>Not required to be declared</v>
      </c>
      <c r="E41" s="1" t="str">
        <f>'Nutrition STONF'!E41</f>
        <v>&lt; 0.5g - express as 0
&lt; 1g - express as "contains less than 1g" or "less than 1g"
≥1g - express to nearest 1g increment
Insignificant amount is &lt; 0.5g</v>
      </c>
      <c r="F41" s="1" t="str">
        <f>'Nutrition STONF'!F41</f>
        <v>&lt; 0.5g - express as 0
&lt; 1g - express as "contains less than 1g" or "less than 1g"
≥1g - express to nearest 1g increment
Insignificant amount is &lt; 0.5g</v>
      </c>
      <c r="G41" s="1" t="str">
        <f>'Nutrition STONF'!G41</f>
        <v>&lt; 5mg - express as 0
5-140mg - express to nearest 5mg increment
&gt; 140mg - express to nearest 10mg increment
Insignificant amount is &lt; 5mg</v>
      </c>
      <c r="K41" s="32"/>
    </row>
    <row r="42" spans="1:11" x14ac:dyDescent="0.35">
      <c r="A42" s="149"/>
      <c r="B42" s="18" t="s">
        <v>56</v>
      </c>
      <c r="C42" s="31" t="s">
        <v>161</v>
      </c>
      <c r="D42" s="31">
        <v>0</v>
      </c>
      <c r="E42" s="30">
        <v>0</v>
      </c>
      <c r="F42" s="31">
        <v>0</v>
      </c>
      <c r="G42" s="31" t="s">
        <v>67</v>
      </c>
      <c r="K42" s="33"/>
    </row>
    <row r="43" spans="1:11" x14ac:dyDescent="0.35">
      <c r="A43" s="29"/>
      <c r="D43" s="28"/>
      <c r="K43" s="34"/>
    </row>
    <row r="44" spans="1:11" x14ac:dyDescent="0.35">
      <c r="D44" s="28"/>
      <c r="K44" s="34"/>
    </row>
    <row r="45" spans="1:11" x14ac:dyDescent="0.35">
      <c r="D45" s="28"/>
    </row>
    <row r="46" spans="1:11" x14ac:dyDescent="0.35">
      <c r="D46" s="28"/>
    </row>
    <row r="50" spans="1:6" x14ac:dyDescent="0.35">
      <c r="A50" s="43" t="s">
        <v>173</v>
      </c>
      <c r="B50" s="43"/>
      <c r="C50" s="113"/>
    </row>
    <row r="51" spans="1:6" x14ac:dyDescent="0.35">
      <c r="A51" s="42" t="s">
        <v>162</v>
      </c>
      <c r="B51" s="42">
        <v>14595986</v>
      </c>
    </row>
    <row r="52" spans="1:6" x14ac:dyDescent="0.35">
      <c r="B52" t="s">
        <v>163</v>
      </c>
      <c r="D52" t="s">
        <v>174</v>
      </c>
      <c r="F52" s="114" t="s">
        <v>182</v>
      </c>
    </row>
    <row r="53" spans="1:6" x14ac:dyDescent="0.35">
      <c r="A53" s="9" t="s">
        <v>43</v>
      </c>
      <c r="B53">
        <v>248</v>
      </c>
      <c r="D53">
        <f>(5.8/100)*B53</f>
        <v>14.383999999999999</v>
      </c>
      <c r="F53" s="114" t="str">
        <f>C42</f>
        <v>15kCal</v>
      </c>
    </row>
    <row r="54" spans="1:6" x14ac:dyDescent="0.35">
      <c r="A54" s="9" t="s">
        <v>5</v>
      </c>
      <c r="B54">
        <v>1.5</v>
      </c>
      <c r="D54">
        <f t="shared" ref="D54:D72" si="2">(5.8/100)*B54</f>
        <v>8.6999999999999994E-2</v>
      </c>
      <c r="F54" s="114">
        <f>D42</f>
        <v>0</v>
      </c>
    </row>
    <row r="55" spans="1:6" x14ac:dyDescent="0.35">
      <c r="A55" s="71" t="s">
        <v>6</v>
      </c>
      <c r="B55">
        <v>0.16700000000000001</v>
      </c>
      <c r="D55">
        <f t="shared" si="2"/>
        <v>9.6860000000000002E-3</v>
      </c>
      <c r="F55" s="114" t="str">
        <f>C35</f>
        <v>none</v>
      </c>
    </row>
    <row r="56" spans="1:6" x14ac:dyDescent="0.35">
      <c r="A56" s="71" t="s">
        <v>7</v>
      </c>
      <c r="B56">
        <v>4.3999999999999997E-2</v>
      </c>
      <c r="D56">
        <f t="shared" si="2"/>
        <v>2.5519999999999996E-3</v>
      </c>
      <c r="F56" s="114" t="str">
        <f>D35</f>
        <v>none</v>
      </c>
    </row>
    <row r="57" spans="1:6" x14ac:dyDescent="0.35">
      <c r="A57" s="71" t="s">
        <v>8</v>
      </c>
      <c r="B57" t="s">
        <v>176</v>
      </c>
      <c r="D57" t="e">
        <f t="shared" si="2"/>
        <v>#VALUE!</v>
      </c>
      <c r="F57" s="114" t="str">
        <f>E35</f>
        <v>none</v>
      </c>
    </row>
    <row r="58" spans="1:6" x14ac:dyDescent="0.35">
      <c r="A58" s="71" t="s">
        <v>9</v>
      </c>
      <c r="B58" t="s">
        <v>184</v>
      </c>
      <c r="C58" t="s">
        <v>165</v>
      </c>
      <c r="D58" t="e">
        <f t="shared" si="2"/>
        <v>#VALUE!</v>
      </c>
      <c r="E58" t="s">
        <v>130</v>
      </c>
      <c r="F58" s="114" t="str">
        <f>F35</f>
        <v>none</v>
      </c>
    </row>
    <row r="59" spans="1:6" x14ac:dyDescent="0.35">
      <c r="A59" s="71" t="s">
        <v>10</v>
      </c>
      <c r="B59">
        <v>91.8</v>
      </c>
      <c r="D59">
        <f t="shared" si="2"/>
        <v>5.3243999999999998</v>
      </c>
      <c r="F59" s="114" t="str">
        <f>C14</f>
        <v>5g</v>
      </c>
    </row>
    <row r="60" spans="1:6" x14ac:dyDescent="0.35">
      <c r="A60" s="71" t="s">
        <v>11</v>
      </c>
      <c r="B60">
        <v>52.8</v>
      </c>
      <c r="D60">
        <f t="shared" si="2"/>
        <v>3.0623999999999998</v>
      </c>
      <c r="F60" s="114" t="str">
        <f>D14</f>
        <v>3g</v>
      </c>
    </row>
    <row r="61" spans="1:6" x14ac:dyDescent="0.35">
      <c r="A61" s="71" t="s">
        <v>12</v>
      </c>
      <c r="B61">
        <v>42.1</v>
      </c>
      <c r="D61">
        <f t="shared" si="2"/>
        <v>2.4417999999999997</v>
      </c>
      <c r="F61" s="114" t="str">
        <f>E14</f>
        <v>2g</v>
      </c>
    </row>
    <row r="62" spans="1:6" x14ac:dyDescent="0.35">
      <c r="A62" s="71" t="s">
        <v>13</v>
      </c>
      <c r="B62">
        <v>1.2</v>
      </c>
      <c r="D62">
        <f t="shared" si="2"/>
        <v>6.9599999999999995E-2</v>
      </c>
      <c r="F62" s="115">
        <f>E42</f>
        <v>0</v>
      </c>
    </row>
    <row r="63" spans="1:6" x14ac:dyDescent="0.35">
      <c r="A63" s="71" t="s">
        <v>14</v>
      </c>
      <c r="D63">
        <f t="shared" si="2"/>
        <v>0</v>
      </c>
      <c r="F63" s="114">
        <f>F42</f>
        <v>0</v>
      </c>
    </row>
    <row r="64" spans="1:6" x14ac:dyDescent="0.35">
      <c r="A64" s="71" t="s">
        <v>15</v>
      </c>
      <c r="B64">
        <v>101</v>
      </c>
      <c r="C64" t="s">
        <v>166</v>
      </c>
      <c r="D64">
        <f t="shared" si="2"/>
        <v>5.8579999999999997</v>
      </c>
      <c r="E64" t="s">
        <v>132</v>
      </c>
      <c r="F64" s="114" t="str">
        <f>C21</f>
        <v>2% DV</v>
      </c>
    </row>
    <row r="65" spans="1:6" x14ac:dyDescent="0.35">
      <c r="A65" s="71" t="s">
        <v>16</v>
      </c>
      <c r="B65" s="113"/>
      <c r="C65" t="s">
        <v>185</v>
      </c>
      <c r="D65">
        <f t="shared" si="2"/>
        <v>0</v>
      </c>
      <c r="E65" t="s">
        <v>132</v>
      </c>
      <c r="F65" s="114" t="str">
        <f>D21</f>
        <v>30 mg</v>
      </c>
    </row>
    <row r="66" spans="1:6" x14ac:dyDescent="0.35">
      <c r="A66" s="71" t="s">
        <v>17</v>
      </c>
      <c r="B66" s="113"/>
      <c r="C66" t="s">
        <v>185</v>
      </c>
      <c r="D66">
        <f t="shared" si="2"/>
        <v>0</v>
      </c>
      <c r="E66" t="s">
        <v>132</v>
      </c>
      <c r="F66" s="114" t="str">
        <f>G42</f>
        <v>5mg</v>
      </c>
    </row>
    <row r="67" spans="1:6" ht="43.5" x14ac:dyDescent="0.35">
      <c r="A67" s="71" t="s">
        <v>18</v>
      </c>
      <c r="B67">
        <v>1080</v>
      </c>
      <c r="C67" t="s">
        <v>166</v>
      </c>
      <c r="D67">
        <f t="shared" si="2"/>
        <v>62.639999999999993</v>
      </c>
      <c r="E67" t="s">
        <v>132</v>
      </c>
      <c r="F67" s="116" t="str">
        <f>E21</f>
        <v>0 or "Contains less than 2% of the Daily value of this nutrient"</v>
      </c>
    </row>
    <row r="68" spans="1:6" x14ac:dyDescent="0.35">
      <c r="A68" s="71" t="s">
        <v>19</v>
      </c>
      <c r="B68" s="113"/>
      <c r="C68" t="s">
        <v>185</v>
      </c>
      <c r="D68">
        <f t="shared" si="2"/>
        <v>0</v>
      </c>
      <c r="F68" s="114" t="str">
        <f>C28</f>
        <v>none</v>
      </c>
    </row>
    <row r="69" spans="1:6" x14ac:dyDescent="0.35">
      <c r="A69" s="71" t="s">
        <v>20</v>
      </c>
      <c r="B69" s="113"/>
      <c r="C69" t="s">
        <v>185</v>
      </c>
      <c r="D69">
        <f t="shared" si="2"/>
        <v>0</v>
      </c>
      <c r="F69" s="114" t="str">
        <f>D28</f>
        <v>none</v>
      </c>
    </row>
    <row r="70" spans="1:6" x14ac:dyDescent="0.35">
      <c r="A70" s="71" t="s">
        <v>21</v>
      </c>
      <c r="B70" s="113"/>
      <c r="C70" t="s">
        <v>185</v>
      </c>
      <c r="D70">
        <f t="shared" si="2"/>
        <v>0</v>
      </c>
      <c r="F70" s="114">
        <f>E28</f>
        <v>0</v>
      </c>
    </row>
    <row r="71" spans="1:6" x14ac:dyDescent="0.35">
      <c r="A71" s="71" t="s">
        <v>22</v>
      </c>
      <c r="B71">
        <v>1.58</v>
      </c>
      <c r="D71">
        <f t="shared" si="2"/>
        <v>9.1639999999999999E-2</v>
      </c>
      <c r="F71" s="114" t="str">
        <f>F28</f>
        <v>0g</v>
      </c>
    </row>
    <row r="72" spans="1:6" x14ac:dyDescent="0.35">
      <c r="D72">
        <f t="shared" si="2"/>
        <v>0</v>
      </c>
    </row>
  </sheetData>
  <mergeCells count="6">
    <mergeCell ref="A37:A42"/>
    <mergeCell ref="A5:A7"/>
    <mergeCell ref="A9:A14"/>
    <mergeCell ref="A16:A21"/>
    <mergeCell ref="A23:A28"/>
    <mergeCell ref="A30:A35"/>
  </mergeCells>
  <pageMargins left="0.7" right="0.7" top="0.75" bottom="0.75" header="0.3" footer="0.3"/>
  <pageSetup orientation="portrait" r:id="rId1"/>
  <headerFooter>
    <oddHeader>&amp;R&amp;"Calibri"&amp;10&amp;K000000Highly Restricted&amp;1#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36AAB-9F19-4E9E-8AAE-FD29A7AFBFC3}">
  <dimension ref="A1:W34"/>
  <sheetViews>
    <sheetView zoomScaleNormal="100" workbookViewId="0">
      <selection activeCell="D6" sqref="D6"/>
    </sheetView>
  </sheetViews>
  <sheetFormatPr defaultRowHeight="14.5" x14ac:dyDescent="0.35"/>
  <cols>
    <col min="1" max="1" width="3" bestFit="1" customWidth="1"/>
    <col min="2" max="2" width="20.1796875" bestFit="1" customWidth="1"/>
    <col min="3" max="3" width="13.1796875" bestFit="1" customWidth="1"/>
    <col min="4" max="4" width="16.453125" bestFit="1" customWidth="1"/>
    <col min="5" max="6" width="12.6328125" customWidth="1"/>
    <col min="7" max="23" width="12.6328125" style="66" customWidth="1"/>
  </cols>
  <sheetData>
    <row r="1" spans="1:23" s="44" customFormat="1" x14ac:dyDescent="0.35">
      <c r="B1" s="45" t="s">
        <v>88</v>
      </c>
      <c r="C1" s="46">
        <v>46078</v>
      </c>
      <c r="D1" s="47" t="s">
        <v>89</v>
      </c>
      <c r="E1" s="45" t="s">
        <v>90</v>
      </c>
      <c r="F1" s="47" t="s">
        <v>91</v>
      </c>
      <c r="G1" s="64" t="s">
        <v>92</v>
      </c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</row>
    <row r="2" spans="1:23" x14ac:dyDescent="0.35">
      <c r="B2" t="s">
        <v>35</v>
      </c>
    </row>
    <row r="3" spans="1:23" x14ac:dyDescent="0.35">
      <c r="B3" s="13" t="s">
        <v>36</v>
      </c>
    </row>
    <row r="4" spans="1:23" x14ac:dyDescent="0.35">
      <c r="B4" t="s">
        <v>37</v>
      </c>
      <c r="D4" s="37"/>
    </row>
    <row r="5" spans="1:23" x14ac:dyDescent="0.35">
      <c r="B5" t="s">
        <v>38</v>
      </c>
      <c r="C5" t="s">
        <v>3</v>
      </c>
      <c r="D5" s="13" t="s">
        <v>143</v>
      </c>
      <c r="E5" s="37"/>
    </row>
    <row r="6" spans="1:23" ht="15" thickBot="1" x14ac:dyDescent="0.4">
      <c r="B6" s="13" t="s">
        <v>93</v>
      </c>
      <c r="C6" s="13">
        <v>5.4</v>
      </c>
      <c r="D6">
        <f>C6*2</f>
        <v>10.8</v>
      </c>
    </row>
    <row r="7" spans="1:23" ht="15" thickBot="1" x14ac:dyDescent="0.4">
      <c r="B7" s="62" t="s">
        <v>114</v>
      </c>
      <c r="C7" s="63">
        <f>C6</f>
        <v>5.4</v>
      </c>
      <c r="E7" t="s">
        <v>113</v>
      </c>
    </row>
    <row r="8" spans="1:23" ht="27" customHeight="1" x14ac:dyDescent="0.35">
      <c r="B8" s="10" t="s">
        <v>39</v>
      </c>
      <c r="C8" s="11">
        <f>SUM(C14:C34)</f>
        <v>1.000041</v>
      </c>
      <c r="D8" s="16">
        <f>SUM(D14:D21)</f>
        <v>5.4002213999999995</v>
      </c>
      <c r="E8" s="76">
        <f>SUM(E14:E34)</f>
        <v>19.30189932</v>
      </c>
      <c r="F8" s="76">
        <f>SUM(F14:F34)</f>
        <v>0.13107070080000002</v>
      </c>
      <c r="G8" s="67">
        <f t="shared" ref="G8:W8" si="0">SUM(G14:G34)</f>
        <v>3.0629664000000001E-2</v>
      </c>
      <c r="H8" s="67">
        <f t="shared" si="0"/>
        <v>5.0341824E-3</v>
      </c>
      <c r="I8" s="67">
        <f t="shared" si="0"/>
        <v>0</v>
      </c>
      <c r="J8" s="68">
        <f>SUM(J14:J34)</f>
        <v>0</v>
      </c>
      <c r="K8" s="67">
        <f t="shared" si="0"/>
        <v>4.8427235100000008</v>
      </c>
      <c r="L8" s="67">
        <f t="shared" si="0"/>
        <v>2.5413523200000001</v>
      </c>
      <c r="M8" s="67">
        <f t="shared" si="0"/>
        <v>2.1380112000000002</v>
      </c>
      <c r="N8" s="67">
        <f t="shared" si="0"/>
        <v>6.7991940000000001E-2</v>
      </c>
      <c r="O8" s="67">
        <f>SUM(O14:O34)</f>
        <v>0</v>
      </c>
      <c r="P8" s="73">
        <f t="shared" si="0"/>
        <v>0.24582582000000003</v>
      </c>
      <c r="Q8" s="73">
        <f t="shared" si="0"/>
        <v>25.6918905</v>
      </c>
      <c r="R8" s="73">
        <f t="shared" si="0"/>
        <v>5.0119241400000005</v>
      </c>
      <c r="S8" s="73">
        <f t="shared" si="0"/>
        <v>5.4995528879999993</v>
      </c>
      <c r="T8" s="69">
        <f t="shared" si="0"/>
        <v>0</v>
      </c>
      <c r="U8" s="68">
        <f t="shared" si="0"/>
        <v>0</v>
      </c>
      <c r="V8" s="70">
        <f t="shared" si="0"/>
        <v>0</v>
      </c>
      <c r="W8" s="67">
        <f t="shared" si="0"/>
        <v>0.10890944640000001</v>
      </c>
    </row>
    <row r="9" spans="1:23" x14ac:dyDescent="0.35">
      <c r="E9" s="148" t="s">
        <v>40</v>
      </c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</row>
    <row r="10" spans="1:23" x14ac:dyDescent="0.35">
      <c r="B10" t="s">
        <v>112</v>
      </c>
      <c r="C10" s="37">
        <v>2</v>
      </c>
      <c r="D10" s="61">
        <f>C6*2</f>
        <v>10.8</v>
      </c>
      <c r="E10" s="76">
        <f>E8*$C$10</f>
        <v>38.603798640000001</v>
      </c>
      <c r="F10" s="76">
        <f t="shared" ref="F10:W10" si="1">F8*$C$10</f>
        <v>0.26214140160000005</v>
      </c>
      <c r="G10" s="67">
        <f t="shared" si="1"/>
        <v>6.1259328000000002E-2</v>
      </c>
      <c r="H10" s="67">
        <f t="shared" si="1"/>
        <v>1.00683648E-2</v>
      </c>
      <c r="I10" s="67">
        <f t="shared" si="1"/>
        <v>0</v>
      </c>
      <c r="J10" s="68">
        <f t="shared" si="1"/>
        <v>0</v>
      </c>
      <c r="K10" s="67">
        <f t="shared" si="1"/>
        <v>9.6854470200000016</v>
      </c>
      <c r="L10" s="67">
        <f t="shared" si="1"/>
        <v>5.0827046400000002</v>
      </c>
      <c r="M10" s="67">
        <f t="shared" si="1"/>
        <v>4.2760224000000004</v>
      </c>
      <c r="N10" s="67">
        <f t="shared" si="1"/>
        <v>0.13598388</v>
      </c>
      <c r="O10" s="67">
        <f t="shared" si="1"/>
        <v>0</v>
      </c>
      <c r="P10" s="73">
        <f t="shared" si="1"/>
        <v>0.49165164000000006</v>
      </c>
      <c r="Q10" s="73">
        <f t="shared" si="1"/>
        <v>51.383780999999999</v>
      </c>
      <c r="R10" s="73">
        <f t="shared" si="1"/>
        <v>10.023848280000001</v>
      </c>
      <c r="S10" s="73">
        <f t="shared" si="1"/>
        <v>10.999105775999999</v>
      </c>
      <c r="T10" s="69">
        <f t="shared" si="1"/>
        <v>0</v>
      </c>
      <c r="U10" s="68">
        <f t="shared" si="1"/>
        <v>0</v>
      </c>
      <c r="V10" s="70">
        <f t="shared" si="1"/>
        <v>0</v>
      </c>
      <c r="W10" s="67">
        <f t="shared" si="1"/>
        <v>0.21781889280000002</v>
      </c>
    </row>
    <row r="11" spans="1:23" x14ac:dyDescent="0.35">
      <c r="D11" s="38"/>
    </row>
    <row r="12" spans="1:23" x14ac:dyDescent="0.35">
      <c r="C12" s="100">
        <f>SUM(C14:C34)</f>
        <v>1.000041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</row>
    <row r="13" spans="1:23" s="9" customFormat="1" ht="29" x14ac:dyDescent="0.35">
      <c r="B13" s="9" t="s">
        <v>0</v>
      </c>
      <c r="C13" s="9" t="s">
        <v>41</v>
      </c>
      <c r="D13" s="9" t="s">
        <v>42</v>
      </c>
      <c r="E13" s="9" t="s">
        <v>43</v>
      </c>
      <c r="F13" s="9" t="s">
        <v>5</v>
      </c>
      <c r="G13" s="71" t="s">
        <v>6</v>
      </c>
      <c r="H13" s="71" t="s">
        <v>7</v>
      </c>
      <c r="I13" s="71" t="s">
        <v>8</v>
      </c>
      <c r="J13" s="71" t="s">
        <v>9</v>
      </c>
      <c r="K13" s="71" t="s">
        <v>10</v>
      </c>
      <c r="L13" s="71" t="s">
        <v>11</v>
      </c>
      <c r="M13" s="71" t="s">
        <v>12</v>
      </c>
      <c r="N13" s="71" t="s">
        <v>13</v>
      </c>
      <c r="O13" s="71" t="s">
        <v>14</v>
      </c>
      <c r="P13" s="71" t="s">
        <v>15</v>
      </c>
      <c r="Q13" s="71" t="s">
        <v>16</v>
      </c>
      <c r="R13" s="71" t="s">
        <v>17</v>
      </c>
      <c r="S13" s="71" t="s">
        <v>18</v>
      </c>
      <c r="T13" s="71" t="s">
        <v>19</v>
      </c>
      <c r="U13" s="71" t="s">
        <v>20</v>
      </c>
      <c r="V13" s="71" t="s">
        <v>21</v>
      </c>
      <c r="W13" s="71" t="s">
        <v>22</v>
      </c>
    </row>
    <row r="14" spans="1:23" x14ac:dyDescent="0.35">
      <c r="A14">
        <v>1</v>
      </c>
      <c r="B14" s="14" t="s">
        <v>23</v>
      </c>
      <c r="C14" s="12">
        <v>0.56159999999999999</v>
      </c>
      <c r="D14" s="17">
        <f>C14*$C$7</f>
        <v>3.0326400000000002</v>
      </c>
      <c r="E14" s="76">
        <f>VLOOKUP($B14,Ingredients!$A:$W,5,FALSE)*$D14/100</f>
        <v>10.941765119999999</v>
      </c>
      <c r="F14" s="76">
        <f>VLOOKUP($B14,Ingredients!$A:$W,6,FALSE)*$D14/100</f>
        <v>0.13107070080000002</v>
      </c>
      <c r="G14" s="67">
        <f>VLOOKUP($B14,Ingredients!$A:$W,7,FALSE)*$D14/100</f>
        <v>3.0629664000000001E-2</v>
      </c>
      <c r="H14" s="67">
        <f>VLOOKUP($B14,Ingredients!$A:$W,8,FALSE)*$D14/100</f>
        <v>5.0341824E-3</v>
      </c>
      <c r="I14" s="67">
        <f>VLOOKUP($B14,Ingredients!$A:$W,9,FALSE)*$D14/100</f>
        <v>0</v>
      </c>
      <c r="J14" s="68">
        <f>VLOOKUP($B14,Ingredients!$A:$W,10,FALSE)*$D14/100</f>
        <v>0</v>
      </c>
      <c r="K14" s="67">
        <f>VLOOKUP($B14,Ingredients!$A:$W,11,FALSE)*$D14/100</f>
        <v>2.6383968000000007</v>
      </c>
      <c r="L14" s="67">
        <f>VLOOKUP($B14,Ingredients!$A:$W,12,FALSE)*$D14/100</f>
        <v>2.5413523200000001</v>
      </c>
      <c r="M14" s="67">
        <f>VLOOKUP($B14,Ingredients!$A:$W,13,FALSE)*$D14/100</f>
        <v>2.1380112000000002</v>
      </c>
      <c r="N14" s="67">
        <f>VLOOKUP($B14,Ingredients!$A:$W,14,FALSE)*$D14/100</f>
        <v>3.0326400000000005E-3</v>
      </c>
      <c r="O14" s="67">
        <f>VLOOKUP($B14,Ingredients!$A:$W,15,FALSE)*$D14/100</f>
        <v>0</v>
      </c>
      <c r="P14" s="73">
        <f>VLOOKUP($B14,Ingredients!$A:$W,16,FALSE)*$D14/100</f>
        <v>0.23654592000000002</v>
      </c>
      <c r="Q14" s="73">
        <f>VLOOKUP($B14,Ingredients!$A:$W,17,FALSE)*$D14/100</f>
        <v>25.686460799999999</v>
      </c>
      <c r="R14" s="73">
        <f>VLOOKUP($B14,Ingredients!$A:$W,18,FALSE)*$D14/100</f>
        <v>2.1334622400000001</v>
      </c>
      <c r="S14" s="73">
        <f>VLOOKUP($B14,Ingredients!$A:$W,19,FALSE)*$D14/100</f>
        <v>5.312275488</v>
      </c>
      <c r="T14" s="69">
        <f>VLOOKUP($B14,Ingredients!$A:$W,20,FALSE)*$D14/100</f>
        <v>0</v>
      </c>
      <c r="U14" s="68">
        <f>VLOOKUP($B14,Ingredients!$A:$W,21,FALSE)*$D14/100</f>
        <v>0</v>
      </c>
      <c r="V14" s="70">
        <f>VLOOKUP($B14,Ingredients!$A:$W,22,FALSE)*$D14/100</f>
        <v>0</v>
      </c>
      <c r="W14" s="67">
        <f>VLOOKUP($B14,Ingredients!$A:$W,23,FALSE)*$D14/100</f>
        <v>6.3715766400000012E-2</v>
      </c>
    </row>
    <row r="15" spans="1:23" x14ac:dyDescent="0.35">
      <c r="A15">
        <v>2</v>
      </c>
      <c r="B15" s="14" t="s">
        <v>24</v>
      </c>
      <c r="C15" s="12">
        <v>0.34370000000000001</v>
      </c>
      <c r="D15" s="17">
        <f>C15*$C$7</f>
        <v>1.8559800000000002</v>
      </c>
      <c r="E15" s="76">
        <f>VLOOKUP($B15,Ingredients!$A:$W,5,FALSE)*$D15/100</f>
        <v>7.0156044000000009</v>
      </c>
      <c r="F15" s="76">
        <f>VLOOKUP($B15,Ingredients!$A:$W,6,FALSE)*$D15/100</f>
        <v>0</v>
      </c>
      <c r="G15" s="67">
        <f>VLOOKUP($B15,Ingredients!$A:$W,7,FALSE)*$D15/100</f>
        <v>0</v>
      </c>
      <c r="H15" s="67">
        <f>VLOOKUP($B15,Ingredients!$A:$W,8,FALSE)*$D15/100</f>
        <v>0</v>
      </c>
      <c r="I15" s="67">
        <f>VLOOKUP($B15,Ingredients!$A:$W,9,FALSE)*$D15/100</f>
        <v>0</v>
      </c>
      <c r="J15" s="68">
        <f>VLOOKUP($B15,Ingredients!$A:$W,10,FALSE)*$D15/100</f>
        <v>0</v>
      </c>
      <c r="K15" s="67">
        <f>VLOOKUP($B15,Ingredients!$A:$W,11,FALSE)*$D15/100</f>
        <v>1.7483331600000003</v>
      </c>
      <c r="L15" s="67">
        <f>VLOOKUP($B15,Ingredients!$A:$W,12,FALSE)*$D15/100</f>
        <v>0</v>
      </c>
      <c r="M15" s="67">
        <f>VLOOKUP($B15,Ingredients!$A:$W,13,FALSE)*$D15/100</f>
        <v>0</v>
      </c>
      <c r="N15" s="67">
        <f>VLOOKUP($B15,Ingredients!$A:$W,14,FALSE)*$D15/100</f>
        <v>6.4959299999999998E-2</v>
      </c>
      <c r="O15" s="67">
        <f>VLOOKUP($B15,Ingredients!$A:$W,15,FALSE)*$D15/100</f>
        <v>0</v>
      </c>
      <c r="P15" s="73">
        <f>VLOOKUP($B15,Ingredients!$A:$W,16,FALSE)*$D15/100</f>
        <v>9.2799000000000006E-3</v>
      </c>
      <c r="Q15" s="73">
        <f>VLOOKUP($B15,Ingredients!$A:$W,17,FALSE)*$D15/100</f>
        <v>0</v>
      </c>
      <c r="R15" s="73">
        <f>VLOOKUP($B15,Ingredients!$A:$W,18,FALSE)*$D15/100</f>
        <v>2.7839700000000005</v>
      </c>
      <c r="S15" s="73">
        <f>VLOOKUP($B15,Ingredients!$A:$W,19,FALSE)*$D15/100</f>
        <v>0.18559800000000004</v>
      </c>
      <c r="T15" s="69">
        <f>VLOOKUP($B15,Ingredients!$A:$W,20,FALSE)*$D15/100</f>
        <v>0</v>
      </c>
      <c r="U15" s="68">
        <f>VLOOKUP($B15,Ingredients!$A:$W,21,FALSE)*$D15/100</f>
        <v>0</v>
      </c>
      <c r="V15" s="70">
        <f>VLOOKUP($B15,Ingredients!$A:$W,22,FALSE)*$D15/100</f>
        <v>0</v>
      </c>
      <c r="W15" s="67">
        <f>VLOOKUP($B15,Ingredients!$A:$W,23,FALSE)*$D15/100</f>
        <v>5.5679400000000004E-3</v>
      </c>
    </row>
    <row r="16" spans="1:23" x14ac:dyDescent="0.35">
      <c r="A16">
        <v>3</v>
      </c>
      <c r="B16" s="14" t="s">
        <v>26</v>
      </c>
      <c r="C16" s="12">
        <v>7.85E-2</v>
      </c>
      <c r="D16" s="17">
        <f>C16*$C$7</f>
        <v>0.42390000000000005</v>
      </c>
      <c r="E16" s="76">
        <f>VLOOKUP($B16,Ingredients!$A:$W,5,FALSE)*$D16/100</f>
        <v>1.0470330000000001</v>
      </c>
      <c r="F16" s="76">
        <f>VLOOKUP($B16,Ingredients!$A:$W,6,FALSE)*$D16/100</f>
        <v>0</v>
      </c>
      <c r="G16" s="67">
        <f>VLOOKUP($B16,Ingredients!$A:$W,7,FALSE)*$D16/100</f>
        <v>0</v>
      </c>
      <c r="H16" s="67">
        <f>VLOOKUP($B16,Ingredients!$A:$W,8,FALSE)*$D16/100</f>
        <v>0</v>
      </c>
      <c r="I16" s="67">
        <f>VLOOKUP($B16,Ingredients!$A:$W,9,FALSE)*$D16/100</f>
        <v>0</v>
      </c>
      <c r="J16" s="68">
        <f>VLOOKUP($B16,Ingredients!$A:$W,10,FALSE)*$D16/100</f>
        <v>0</v>
      </c>
      <c r="K16" s="67">
        <f>VLOOKUP($B16,Ingredients!$A:$W,11,FALSE)*$D16/100</f>
        <v>0.4215685500000001</v>
      </c>
      <c r="L16" s="67">
        <f>VLOOKUP($B16,Ingredients!$A:$W,12,FALSE)*$D16/100</f>
        <v>0</v>
      </c>
      <c r="M16" s="67">
        <f>VLOOKUP($B16,Ingredients!$A:$W,13,FALSE)*$D16/100</f>
        <v>0</v>
      </c>
      <c r="N16" s="67">
        <f>VLOOKUP($B16,Ingredients!$A:$W,14,FALSE)*$D16/100</f>
        <v>0</v>
      </c>
      <c r="O16" s="67">
        <f>VLOOKUP($B16,Ingredients!$A:$W,15,FALSE)*$D16/100</f>
        <v>0</v>
      </c>
      <c r="P16" s="73">
        <f>VLOOKUP($B16,Ingredients!$A:$W,16,FALSE)*$D16/100</f>
        <v>0</v>
      </c>
      <c r="Q16" s="73">
        <f>VLOOKUP($B16,Ingredients!$A:$W,17,FALSE)*$D16/100</f>
        <v>1.2717E-3</v>
      </c>
      <c r="R16" s="73">
        <f>VLOOKUP($B16,Ingredients!$A:$W,18,FALSE)*$D16/100</f>
        <v>1.2717E-3</v>
      </c>
      <c r="S16" s="73">
        <f>VLOOKUP($B16,Ingredients!$A:$W,19,FALSE)*$D16/100</f>
        <v>8.4780000000000022E-4</v>
      </c>
      <c r="T16" s="69">
        <f>VLOOKUP($B16,Ingredients!$A:$W,20,FALSE)*$D16/100</f>
        <v>0</v>
      </c>
      <c r="U16" s="68">
        <f>VLOOKUP($B16,Ingredients!$A:$W,21,FALSE)*$D16/100</f>
        <v>0</v>
      </c>
      <c r="V16" s="70">
        <f>VLOOKUP($B16,Ingredients!$A:$W,22,FALSE)*$D16/100</f>
        <v>0</v>
      </c>
      <c r="W16" s="67">
        <f>VLOOKUP($B16,Ingredients!$A:$W,23,FALSE)*$D16/100</f>
        <v>0</v>
      </c>
    </row>
    <row r="17" spans="1:23" x14ac:dyDescent="0.35">
      <c r="A17">
        <v>4</v>
      </c>
      <c r="B17" s="14" t="s">
        <v>75</v>
      </c>
      <c r="C17" s="35">
        <v>7.7000000000000002E-3</v>
      </c>
      <c r="D17" s="17">
        <f t="shared" ref="D17:D19" si="2">C17*$C$7</f>
        <v>4.1580000000000006E-2</v>
      </c>
      <c r="E17" s="76">
        <f>VLOOKUP($B17,Ingredients!$A:$W,5,FALSE)*$D17/100</f>
        <v>0.15841980000000003</v>
      </c>
      <c r="F17" s="76">
        <f>VLOOKUP($B17,Ingredients!$A:$W,6,FALSE)*$D17/100</f>
        <v>0</v>
      </c>
      <c r="G17" s="67">
        <f>VLOOKUP($B17,Ingredients!$A:$W,7,FALSE)*$D17/100</f>
        <v>0</v>
      </c>
      <c r="H17" s="67">
        <f>VLOOKUP($B17,Ingredients!$A:$W,8,FALSE)*$D17/100</f>
        <v>0</v>
      </c>
      <c r="I17" s="67">
        <f>VLOOKUP($B17,Ingredients!$A:$W,9,FALSE)*$D17/100</f>
        <v>0</v>
      </c>
      <c r="J17" s="68">
        <f>VLOOKUP($B17,Ingredients!$A:$W,10,FALSE)*$D17/100</f>
        <v>0</v>
      </c>
      <c r="K17" s="67">
        <f>VLOOKUP($B17,Ingredients!$A:$W,11,FALSE)*$D17/100</f>
        <v>0</v>
      </c>
      <c r="L17" s="67">
        <f>VLOOKUP($B17,Ingredients!$A:$W,12,FALSE)*$D17/100</f>
        <v>0</v>
      </c>
      <c r="M17" s="67">
        <f>VLOOKUP($B17,Ingredients!$A:$W,13,FALSE)*$D17/100</f>
        <v>0</v>
      </c>
      <c r="N17" s="67">
        <f>VLOOKUP($B17,Ingredients!$A:$W,14,FALSE)*$D17/100</f>
        <v>0</v>
      </c>
      <c r="O17" s="67">
        <f>VLOOKUP($B17,Ingredients!$A:$W,15,FALSE)*$D17/100</f>
        <v>0</v>
      </c>
      <c r="P17" s="73">
        <f>VLOOKUP($B17,Ingredients!$A:$W,16,FALSE)*$D17/100</f>
        <v>0</v>
      </c>
      <c r="Q17" s="73">
        <f>VLOOKUP($B17,Ingredients!$A:$W,17,FALSE)*$D17/100</f>
        <v>4.1580000000000002E-3</v>
      </c>
      <c r="R17" s="73">
        <f>VLOOKUP($B17,Ingredients!$A:$W,18,FALSE)*$D17/100</f>
        <v>1.2474000000000002E-2</v>
      </c>
      <c r="S17" s="73">
        <f>VLOOKUP($B17,Ingredients!$A:$W,19,FALSE)*$D17/100</f>
        <v>8.3160000000000016E-4</v>
      </c>
      <c r="T17" s="69">
        <f>VLOOKUP($B17,Ingredients!$A:$W,20,FALSE)*$D17/100</f>
        <v>0</v>
      </c>
      <c r="U17" s="68">
        <f>VLOOKUP($B17,Ingredients!$A:$W,21,FALSE)*$D17/100</f>
        <v>0</v>
      </c>
      <c r="V17" s="70">
        <f>VLOOKUP($B17,Ingredients!$A:$W,22,FALSE)*$D17/100</f>
        <v>0</v>
      </c>
      <c r="W17" s="67">
        <f>VLOOKUP($B17,Ingredients!$A:$W,23,FALSE)*$D17/100</f>
        <v>3.9625740000000007E-2</v>
      </c>
    </row>
    <row r="18" spans="1:23" ht="16.399999999999999" customHeight="1" x14ac:dyDescent="0.35">
      <c r="A18">
        <v>5</v>
      </c>
      <c r="B18" s="14" t="s">
        <v>78</v>
      </c>
      <c r="C18" s="35">
        <v>8.5000000000000006E-3</v>
      </c>
      <c r="D18" s="17">
        <f t="shared" si="2"/>
        <v>4.5900000000000003E-2</v>
      </c>
      <c r="E18" s="76">
        <f>VLOOKUP($B18,Ingredients!$A:$W,5,FALSE)*$D18/100</f>
        <v>0.13907700000000001</v>
      </c>
      <c r="F18" s="76">
        <f>VLOOKUP($B18,Ingredients!$A:$W,6,FALSE)*$D18/100</f>
        <v>0</v>
      </c>
      <c r="G18" s="67">
        <f>VLOOKUP($B18,Ingredients!$A:$W,7,FALSE)*$D18/100</f>
        <v>0</v>
      </c>
      <c r="H18" s="67">
        <f>VLOOKUP($B18,Ingredients!$A:$W,8,FALSE)*$D18/100</f>
        <v>0</v>
      </c>
      <c r="I18" s="67">
        <f>VLOOKUP($B18,Ingredients!$A:$W,9,FALSE)*$D18/100</f>
        <v>0</v>
      </c>
      <c r="J18" s="68">
        <f>VLOOKUP($B18,Ingredients!$A:$W,10,FALSE)*$D18/100</f>
        <v>0</v>
      </c>
      <c r="K18" s="67">
        <f>VLOOKUP($B18,Ingredients!$A:$W,11,FALSE)*$D18/100</f>
        <v>3.4425000000000004E-2</v>
      </c>
      <c r="L18" s="67">
        <f>VLOOKUP($B18,Ingredients!$A:$W,12,FALSE)*$D18/100</f>
        <v>0</v>
      </c>
      <c r="M18" s="67">
        <f>VLOOKUP($B18,Ingredients!$A:$W,13,FALSE)*$D18/100</f>
        <v>0</v>
      </c>
      <c r="N18" s="67">
        <f>VLOOKUP($B18,Ingredients!$A:$W,14,FALSE)*$D18/100</f>
        <v>0</v>
      </c>
      <c r="O18" s="67">
        <f>VLOOKUP($B18,Ingredients!$A:$W,15,FALSE)*$D18/100</f>
        <v>0</v>
      </c>
      <c r="P18" s="73">
        <f>VLOOKUP($B18,Ingredients!$A:$W,16,FALSE)*$D18/100</f>
        <v>0</v>
      </c>
      <c r="Q18" s="73">
        <f>VLOOKUP($B18,Ingredients!$A:$W,17,FALSE)*$D18/100</f>
        <v>0</v>
      </c>
      <c r="R18" s="73">
        <f>VLOOKUP($B18,Ingredients!$A:$W,18,FALSE)*$D18/100</f>
        <v>7.3440000000000005E-2</v>
      </c>
      <c r="S18" s="73">
        <f>VLOOKUP($B18,Ingredients!$A:$W,19,FALSE)*$D18/100</f>
        <v>0</v>
      </c>
      <c r="T18" s="69">
        <f>VLOOKUP($B18,Ingredients!$A:$W,20,FALSE)*$D18/100</f>
        <v>0</v>
      </c>
      <c r="U18" s="68">
        <f>VLOOKUP($B18,Ingredients!$A:$W,21,FALSE)*$D18/100</f>
        <v>0</v>
      </c>
      <c r="V18" s="70">
        <f>VLOOKUP($B18,Ingredients!$A:$W,22,FALSE)*$D18/100</f>
        <v>0</v>
      </c>
      <c r="W18" s="67">
        <f>VLOOKUP($B18,Ingredients!$A:$W,23,FALSE)*$D18/100</f>
        <v>0</v>
      </c>
    </row>
    <row r="19" spans="1:23" x14ac:dyDescent="0.35">
      <c r="A19">
        <v>6</v>
      </c>
      <c r="B19" s="14" t="s">
        <v>84</v>
      </c>
      <c r="C19" s="35">
        <v>4.1E-5</v>
      </c>
      <c r="D19" s="17">
        <f t="shared" si="2"/>
        <v>2.2140000000000001E-4</v>
      </c>
      <c r="E19" s="76">
        <f>VLOOKUP($B19,Ingredients!$A:$W,5,FALSE)*$D19/100</f>
        <v>0</v>
      </c>
      <c r="F19" s="76">
        <f>VLOOKUP($B19,Ingredients!$A:$W,6,FALSE)*$D19/100</f>
        <v>0</v>
      </c>
      <c r="G19" s="67">
        <f>VLOOKUP($B19,Ingredients!$A:$W,7,FALSE)*$D19/100</f>
        <v>0</v>
      </c>
      <c r="H19" s="67">
        <f>VLOOKUP($B19,Ingredients!$A:$W,8,FALSE)*$D19/100</f>
        <v>0</v>
      </c>
      <c r="I19" s="67">
        <f>VLOOKUP($B19,Ingredients!$A:$W,9,FALSE)*$D19/100</f>
        <v>0</v>
      </c>
      <c r="J19" s="68">
        <f>VLOOKUP($B19,Ingredients!$A:$W,10,FALSE)*$D19/100</f>
        <v>0</v>
      </c>
      <c r="K19" s="67">
        <f>VLOOKUP($B19,Ingredients!$A:$W,11,FALSE)*$D19/100</f>
        <v>0</v>
      </c>
      <c r="L19" s="67">
        <f>VLOOKUP($B19,Ingredients!$A:$W,12,FALSE)*$D19/100</f>
        <v>0</v>
      </c>
      <c r="M19" s="67">
        <f>VLOOKUP($B19,Ingredients!$A:$W,13,FALSE)*$D19/100</f>
        <v>0</v>
      </c>
      <c r="N19" s="67">
        <f>VLOOKUP($B19,Ingredients!$A:$W,14,FALSE)*$D19/100</f>
        <v>0</v>
      </c>
      <c r="O19" s="67">
        <f>VLOOKUP($B19,Ingredients!$A:$W,15,FALSE)*$D19/100</f>
        <v>0</v>
      </c>
      <c r="P19" s="73">
        <f>VLOOKUP($B19,Ingredients!$A:$W,16,FALSE)*$D19/100</f>
        <v>0</v>
      </c>
      <c r="Q19" s="73">
        <f>VLOOKUP($B19,Ingredients!$A:$W,17,FALSE)*$D19/100</f>
        <v>0</v>
      </c>
      <c r="R19" s="73">
        <f>VLOOKUP($B19,Ingredients!$A:$W,18,FALSE)*$D19/100</f>
        <v>7.3062000000000005E-3</v>
      </c>
      <c r="S19" s="73">
        <f>VLOOKUP($B19,Ingredients!$A:$W,19,FALSE)*$D19/100</f>
        <v>0</v>
      </c>
      <c r="T19" s="69">
        <f>VLOOKUP($B19,Ingredients!$A:$W,20,FALSE)*$D19/100</f>
        <v>0</v>
      </c>
      <c r="U19" s="68">
        <f>VLOOKUP($B19,Ingredients!$A:$W,21,FALSE)*$D19/100</f>
        <v>0</v>
      </c>
      <c r="V19" s="70">
        <f>VLOOKUP($B19,Ingredients!$A:$W,22,FALSE)*$D19/100</f>
        <v>0</v>
      </c>
      <c r="W19" s="67">
        <f>VLOOKUP($B19,Ingredients!$A:$W,23,FALSE)*$D19/100</f>
        <v>0</v>
      </c>
    </row>
    <row r="20" spans="1:23" x14ac:dyDescent="0.35">
      <c r="A20">
        <v>7</v>
      </c>
      <c r="B20" s="14"/>
      <c r="C20" s="35"/>
      <c r="D20" s="17"/>
      <c r="E20" s="76"/>
      <c r="F20" s="76"/>
      <c r="G20" s="67"/>
      <c r="H20" s="67"/>
      <c r="I20" s="67"/>
      <c r="J20" s="68"/>
      <c r="K20" s="67"/>
      <c r="L20" s="67"/>
      <c r="M20" s="67"/>
      <c r="N20" s="67"/>
      <c r="O20" s="67"/>
      <c r="P20" s="73"/>
      <c r="Q20" s="73"/>
      <c r="R20" s="73"/>
      <c r="S20" s="73"/>
      <c r="T20" s="69"/>
      <c r="U20" s="68"/>
      <c r="V20" s="70"/>
      <c r="W20" s="67"/>
    </row>
    <row r="21" spans="1:23" x14ac:dyDescent="0.35">
      <c r="A21">
        <v>8</v>
      </c>
      <c r="B21" s="14"/>
      <c r="C21" s="35"/>
      <c r="D21" s="17"/>
      <c r="E21" s="75"/>
      <c r="F21" s="75"/>
      <c r="G21" s="67"/>
      <c r="H21" s="67"/>
      <c r="I21" s="67"/>
      <c r="J21" s="68"/>
      <c r="K21" s="67"/>
      <c r="L21" s="67"/>
      <c r="M21" s="67"/>
      <c r="N21" s="67"/>
      <c r="O21" s="67"/>
      <c r="P21" s="73"/>
      <c r="Q21" s="73"/>
      <c r="R21" s="73"/>
      <c r="S21" s="73"/>
      <c r="T21" s="69"/>
      <c r="U21" s="68"/>
      <c r="V21" s="70"/>
      <c r="W21" s="67"/>
    </row>
    <row r="22" spans="1:23" x14ac:dyDescent="0.35">
      <c r="A22">
        <v>9</v>
      </c>
      <c r="B22" s="14"/>
      <c r="C22" s="35"/>
      <c r="D22" s="17"/>
      <c r="E22" s="75"/>
      <c r="F22" s="75"/>
      <c r="G22" s="67"/>
      <c r="H22" s="67"/>
      <c r="I22" s="67"/>
      <c r="J22" s="68"/>
      <c r="K22" s="67"/>
      <c r="L22" s="67"/>
      <c r="M22" s="67"/>
      <c r="N22" s="67"/>
      <c r="O22" s="67"/>
      <c r="P22" s="73"/>
      <c r="Q22" s="73"/>
      <c r="R22" s="73"/>
      <c r="S22" s="73"/>
      <c r="T22" s="69"/>
      <c r="U22" s="68"/>
      <c r="V22" s="70"/>
      <c r="W22" s="67"/>
    </row>
    <row r="23" spans="1:23" x14ac:dyDescent="0.35">
      <c r="A23">
        <v>10</v>
      </c>
      <c r="B23" s="14"/>
      <c r="C23" s="13"/>
      <c r="D23" s="17"/>
      <c r="E23" s="75"/>
      <c r="F23" s="75"/>
      <c r="G23" s="67"/>
      <c r="H23" s="67"/>
      <c r="I23" s="67"/>
      <c r="J23" s="68"/>
      <c r="K23" s="67"/>
      <c r="L23" s="67"/>
      <c r="M23" s="67"/>
      <c r="N23" s="67"/>
      <c r="O23" s="67"/>
      <c r="P23" s="73"/>
      <c r="Q23" s="73"/>
      <c r="R23" s="73"/>
      <c r="S23" s="73"/>
      <c r="T23" s="69"/>
      <c r="U23" s="68"/>
      <c r="V23" s="70"/>
      <c r="W23" s="67"/>
    </row>
    <row r="24" spans="1:23" x14ac:dyDescent="0.35">
      <c r="A24">
        <v>11</v>
      </c>
      <c r="B24" s="14"/>
      <c r="C24" s="13"/>
      <c r="D24" s="17"/>
      <c r="E24" s="75"/>
      <c r="F24" s="75"/>
      <c r="G24" s="67"/>
      <c r="H24" s="67"/>
      <c r="I24" s="67"/>
      <c r="J24" s="68"/>
      <c r="K24" s="67"/>
      <c r="L24" s="67"/>
      <c r="M24" s="67"/>
      <c r="N24" s="67"/>
      <c r="O24" s="67"/>
      <c r="P24" s="73"/>
      <c r="Q24" s="73"/>
      <c r="R24" s="73"/>
      <c r="S24" s="73"/>
      <c r="T24" s="69"/>
      <c r="U24" s="68"/>
      <c r="V24" s="70"/>
      <c r="W24" s="67"/>
    </row>
    <row r="25" spans="1:23" x14ac:dyDescent="0.35">
      <c r="A25">
        <v>12</v>
      </c>
      <c r="B25" s="14"/>
      <c r="C25" s="13"/>
      <c r="D25" s="17"/>
      <c r="E25" s="75"/>
      <c r="F25" s="75"/>
      <c r="G25" s="67"/>
      <c r="H25" s="67"/>
      <c r="I25" s="67"/>
      <c r="J25" s="68"/>
      <c r="K25" s="67"/>
      <c r="L25" s="67"/>
      <c r="M25" s="67"/>
      <c r="N25" s="67"/>
      <c r="O25" s="67"/>
      <c r="P25" s="73"/>
      <c r="Q25" s="73"/>
      <c r="R25" s="73"/>
      <c r="S25" s="73"/>
      <c r="T25" s="69"/>
      <c r="U25" s="68"/>
      <c r="V25" s="70"/>
      <c r="W25" s="67"/>
    </row>
    <row r="26" spans="1:23" x14ac:dyDescent="0.35">
      <c r="A26">
        <v>13</v>
      </c>
      <c r="B26" s="14"/>
      <c r="C26" s="13"/>
      <c r="D26" s="17"/>
      <c r="E26" s="75"/>
      <c r="F26" s="75"/>
      <c r="G26" s="67"/>
      <c r="H26" s="67"/>
      <c r="I26" s="67"/>
      <c r="J26" s="68"/>
      <c r="K26" s="67"/>
      <c r="L26" s="67"/>
      <c r="M26" s="67"/>
      <c r="N26" s="67"/>
      <c r="O26" s="67"/>
      <c r="P26" s="73"/>
      <c r="Q26" s="73"/>
      <c r="R26" s="73"/>
      <c r="S26" s="73"/>
      <c r="T26" s="69"/>
      <c r="U26" s="68"/>
      <c r="V26" s="70"/>
      <c r="W26" s="67"/>
    </row>
    <row r="27" spans="1:23" x14ac:dyDescent="0.35">
      <c r="A27">
        <v>14</v>
      </c>
      <c r="B27" s="14"/>
      <c r="C27" s="13"/>
      <c r="D27" s="17"/>
      <c r="E27" s="75"/>
      <c r="F27" s="75"/>
      <c r="G27" s="67"/>
      <c r="H27" s="67"/>
      <c r="I27" s="67"/>
      <c r="J27" s="68"/>
      <c r="K27" s="67"/>
      <c r="L27" s="67"/>
      <c r="M27" s="67"/>
      <c r="N27" s="67"/>
      <c r="O27" s="67"/>
      <c r="P27" s="73"/>
      <c r="Q27" s="73"/>
      <c r="R27" s="73"/>
      <c r="S27" s="73"/>
      <c r="T27" s="69"/>
      <c r="U27" s="68"/>
      <c r="V27" s="70"/>
      <c r="W27" s="67"/>
    </row>
    <row r="28" spans="1:23" x14ac:dyDescent="0.35">
      <c r="A28">
        <v>15</v>
      </c>
      <c r="B28" s="14"/>
      <c r="C28" s="13"/>
      <c r="D28" s="17"/>
      <c r="E28" s="75"/>
      <c r="F28" s="75"/>
      <c r="G28" s="67"/>
      <c r="H28" s="67"/>
      <c r="I28" s="67"/>
      <c r="J28" s="68"/>
      <c r="K28" s="67"/>
      <c r="L28" s="67"/>
      <c r="M28" s="67"/>
      <c r="N28" s="67"/>
      <c r="O28" s="67"/>
      <c r="P28" s="73"/>
      <c r="Q28" s="73"/>
      <c r="R28" s="73"/>
      <c r="S28" s="73"/>
      <c r="T28" s="69"/>
      <c r="U28" s="68"/>
      <c r="V28" s="70"/>
      <c r="W28" s="67"/>
    </row>
    <row r="29" spans="1:23" x14ac:dyDescent="0.35">
      <c r="A29">
        <v>16</v>
      </c>
      <c r="B29" s="14"/>
      <c r="C29" s="13"/>
      <c r="D29" s="17"/>
      <c r="E29" s="15"/>
      <c r="F29" s="15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</row>
    <row r="30" spans="1:23" x14ac:dyDescent="0.35">
      <c r="A30">
        <v>17</v>
      </c>
      <c r="B30" s="14"/>
      <c r="C30" s="13"/>
      <c r="D30" s="17"/>
      <c r="E30" s="15"/>
      <c r="F30" s="15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</row>
    <row r="31" spans="1:23" x14ac:dyDescent="0.35">
      <c r="A31">
        <v>18</v>
      </c>
      <c r="B31" s="14"/>
      <c r="C31" s="13"/>
      <c r="D31" s="17"/>
      <c r="E31" s="15"/>
      <c r="F31" s="15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</row>
    <row r="32" spans="1:23" x14ac:dyDescent="0.35">
      <c r="A32">
        <v>19</v>
      </c>
      <c r="B32" s="14"/>
      <c r="C32" s="13"/>
      <c r="D32" s="17"/>
      <c r="E32" s="15"/>
      <c r="F32" s="15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</row>
    <row r="33" spans="1:23" x14ac:dyDescent="0.35">
      <c r="A33">
        <v>20</v>
      </c>
      <c r="B33" s="14"/>
      <c r="C33" s="13"/>
      <c r="D33" s="17"/>
      <c r="E33" s="15"/>
      <c r="F33" s="15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</row>
    <row r="34" spans="1:23" x14ac:dyDescent="0.35">
      <c r="A34">
        <v>21</v>
      </c>
      <c r="B34" s="14"/>
      <c r="C34" s="13"/>
      <c r="D34" s="17"/>
      <c r="E34" s="15"/>
      <c r="F34" s="15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</row>
  </sheetData>
  <mergeCells count="1">
    <mergeCell ref="E9:W9"/>
  </mergeCells>
  <pageMargins left="0.7" right="0.7" top="0.75" bottom="0.75" header="0.3" footer="0.3"/>
  <pageSetup orientation="portrait" r:id="rId1"/>
  <headerFooter>
    <oddHeader>&amp;R&amp;"Calibri"&amp;10&amp;K000000Highly Restricted&amp;1#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2BC01E0-267A-457D-89F2-FB0CE6052077}">
          <x14:formula1>
            <xm:f>Ingredients!$A$3:$A$1048576</xm:f>
          </x14:formula1>
          <xm:sqref>B14:B34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50B75-F106-436F-8C18-129A3B6C9FF3}">
  <dimension ref="A1:K46"/>
  <sheetViews>
    <sheetView topLeftCell="A33" zoomScaleNormal="100" workbookViewId="0">
      <selection activeCell="D41" sqref="D41"/>
    </sheetView>
  </sheetViews>
  <sheetFormatPr defaultColWidth="9.1796875" defaultRowHeight="14.5" x14ac:dyDescent="0.35"/>
  <cols>
    <col min="1" max="1" width="17.453125" bestFit="1" customWidth="1"/>
    <col min="2" max="2" width="6.453125" bestFit="1" customWidth="1"/>
    <col min="3" max="3" width="30.54296875" bestFit="1" customWidth="1"/>
    <col min="4" max="4" width="33" customWidth="1"/>
    <col min="5" max="5" width="31.54296875" bestFit="1" customWidth="1"/>
    <col min="6" max="6" width="26.453125" customWidth="1"/>
    <col min="7" max="7" width="27.1796875" customWidth="1"/>
    <col min="8" max="8" width="23.54296875" customWidth="1"/>
    <col min="9" max="9" width="6.81640625" bestFit="1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.81640625" bestFit="1" customWidth="1"/>
    <col min="14" max="14" width="8.1796875" bestFit="1" customWidth="1"/>
    <col min="15" max="15" width="9.453125" bestFit="1" customWidth="1"/>
    <col min="16" max="16" width="8.1796875" bestFit="1" customWidth="1"/>
    <col min="17" max="17" width="7.54296875" bestFit="1" customWidth="1"/>
  </cols>
  <sheetData>
    <row r="1" spans="1:9" x14ac:dyDescent="0.35">
      <c r="A1" s="13" t="s">
        <v>36</v>
      </c>
    </row>
    <row r="2" spans="1:9" x14ac:dyDescent="0.35">
      <c r="A2" t="s">
        <v>94</v>
      </c>
      <c r="B2" s="13" t="s">
        <v>143</v>
      </c>
      <c r="D2" t="str">
        <f>A2&amp;" "&amp; B2</f>
        <v>Formulation STCF</v>
      </c>
      <c r="G2" cm="1">
        <f t="array" aca="1" ref="G2" ca="1">INDIRECT("'"&amp;D2&amp;"'!C7")</f>
        <v>5.4</v>
      </c>
      <c r="H2" t="s">
        <v>46</v>
      </c>
      <c r="I2" t="s">
        <v>99</v>
      </c>
    </row>
    <row r="3" spans="1:9" x14ac:dyDescent="0.35">
      <c r="A3" t="str">
        <f>'Formulation STOF2'!B6</f>
        <v>Smooth Texture Sugar Free Orange Natural Dyes</v>
      </c>
      <c r="D3" t="s">
        <v>44</v>
      </c>
      <c r="E3" t="s">
        <v>45</v>
      </c>
      <c r="G3" s="27" cm="1">
        <f t="array" aca="1" ref="G3" ca="1">INDIRECT("'"&amp;D2&amp;"'!D6")</f>
        <v>10.8</v>
      </c>
      <c r="H3" t="s">
        <v>46</v>
      </c>
      <c r="I3" t="s">
        <v>100</v>
      </c>
    </row>
    <row r="5" spans="1:9" ht="15.5" x14ac:dyDescent="0.35">
      <c r="A5" s="146" t="s">
        <v>104</v>
      </c>
      <c r="B5" t="s">
        <v>101</v>
      </c>
      <c r="C5" s="18">
        <f ca="1">(4*F24)+(4*C10)+(9*C31)</f>
        <v>20.082198801600004</v>
      </c>
      <c r="D5" s="50" t="s">
        <v>95</v>
      </c>
      <c r="E5" s="74" t="s">
        <v>96</v>
      </c>
      <c r="F5" s="74" t="s">
        <v>98</v>
      </c>
    </row>
    <row r="6" spans="1:9" ht="15.5" x14ac:dyDescent="0.35">
      <c r="A6" s="146"/>
      <c r="B6" t="s">
        <v>102</v>
      </c>
      <c r="C6" s="18">
        <f ca="1">(4*F24)+(9*C31)+(4*(C10-D10))+(2*D10)</f>
        <v>14.999494161600001</v>
      </c>
      <c r="D6" s="50" t="s">
        <v>95</v>
      </c>
      <c r="E6" s="74" t="s">
        <v>97</v>
      </c>
      <c r="F6" s="74" t="s">
        <v>115</v>
      </c>
    </row>
    <row r="7" spans="1:9" ht="15.5" x14ac:dyDescent="0.35">
      <c r="A7" s="146"/>
      <c r="B7" t="s">
        <v>103</v>
      </c>
      <c r="C7" s="18">
        <f ca="1">(4*F24)+(9*C31)+(4*(C10-D10))+(2*E10)</f>
        <v>14.192811921600002</v>
      </c>
      <c r="D7" s="50" t="s">
        <v>95</v>
      </c>
      <c r="E7" s="74" t="s">
        <v>97</v>
      </c>
      <c r="F7" s="74" t="s">
        <v>116</v>
      </c>
    </row>
    <row r="8" spans="1:9" s="51" customFormat="1" ht="7" customHeight="1" x14ac:dyDescent="0.35">
      <c r="C8" s="52"/>
      <c r="D8" s="53"/>
      <c r="E8" s="53"/>
    </row>
    <row r="9" spans="1:9" ht="30" customHeight="1" x14ac:dyDescent="0.35">
      <c r="A9" s="150" t="s">
        <v>49</v>
      </c>
      <c r="B9" s="18"/>
      <c r="C9" s="1" t="str">
        <f ca="1">'Nutrition STONF'!C9</f>
        <v>Total carbohydrate</v>
      </c>
      <c r="D9" s="1" t="str">
        <f ca="1">'Nutrition STONF'!D9</f>
        <v>Total dietary fiber</v>
      </c>
      <c r="E9" s="1" t="str">
        <f ca="1">'Nutrition STONF'!E9</f>
        <v>Soluble fiber</v>
      </c>
    </row>
    <row r="10" spans="1:9" x14ac:dyDescent="0.35">
      <c r="A10" s="150"/>
      <c r="B10" s="18" t="s">
        <v>50</v>
      </c>
      <c r="C10" s="21" cm="1">
        <f t="array" aca="1" ref="C10" ca="1">INDIRECT("'"&amp;D2&amp;"'!K8")</f>
        <v>4.8427235100000008</v>
      </c>
      <c r="D10" s="21" cm="1">
        <f t="array" aca="1" ref="D10" ca="1">INDIRECT("'"&amp;D2&amp;"'!L8")</f>
        <v>2.5413523200000001</v>
      </c>
      <c r="E10" s="21" cm="1">
        <f t="array" aca="1" ref="E10" ca="1">INDIRECT("'"&amp;D2&amp;"'!M8")</f>
        <v>2.1380112000000002</v>
      </c>
    </row>
    <row r="11" spans="1:9" x14ac:dyDescent="0.35">
      <c r="A11" s="150"/>
      <c r="B11" s="18" t="s">
        <v>51</v>
      </c>
      <c r="C11" s="1">
        <f>'Nutrition STONF'!C11</f>
        <v>275</v>
      </c>
      <c r="D11" s="1">
        <f>'Nutrition STONF'!D11</f>
        <v>28</v>
      </c>
      <c r="E11" s="1" t="str">
        <f>'Nutrition STONF'!E11</f>
        <v>NA</v>
      </c>
    </row>
    <row r="12" spans="1:9" x14ac:dyDescent="0.35">
      <c r="A12" s="150"/>
      <c r="B12" s="18" t="s">
        <v>53</v>
      </c>
      <c r="C12" s="26">
        <f ca="1">C10/C11</f>
        <v>1.7609903672727276E-2</v>
      </c>
      <c r="D12" s="26">
        <f ca="1">D10/D11</f>
        <v>9.0762582857142865E-2</v>
      </c>
      <c r="E12" s="26" t="s">
        <v>52</v>
      </c>
    </row>
    <row r="13" spans="1:9" ht="127" customHeight="1" x14ac:dyDescent="0.35">
      <c r="A13" s="150"/>
      <c r="B13" s="18"/>
      <c r="C13" s="1" t="str">
        <f>'Nutrition STONF'!C13</f>
        <v>&lt; 0.5g - express as 0
&lt; 1g - express as "contains less than 1g" or "less than 1g"
≥1g - express to nearest 1g increment
Insignificant amount is &lt; 1g</v>
      </c>
      <c r="D13" s="1" t="str">
        <f>'Nutrition STONF'!D13</f>
        <v>&lt; 0.5g - express as 0
&lt; 1g - express as "contains less than 1g" or "less than 1g"
≥1g - express to nearest 1g increment
Insignificant amount is &lt; 1g</v>
      </c>
      <c r="E13" s="1" t="str">
        <f>'Nutrition STONF'!E13</f>
        <v>- Label value  based on calculation of psyllium being 70% soluble fiber (3.4g psyllium * 0.70 = 2.4g)
&lt; 0.5g - express as 0
&lt; 1g - express as "contains less than 1g" or "less than 1g"
≥1g - express to nearest 1g increment
Insignificant amount is &lt; 0.5g</v>
      </c>
    </row>
    <row r="14" spans="1:9" x14ac:dyDescent="0.35">
      <c r="A14" s="150"/>
      <c r="B14" s="18" t="s">
        <v>56</v>
      </c>
      <c r="C14" s="31" t="s">
        <v>57</v>
      </c>
      <c r="D14" s="31" t="s">
        <v>58</v>
      </c>
      <c r="E14" s="31" t="s">
        <v>59</v>
      </c>
    </row>
    <row r="16" spans="1:9" x14ac:dyDescent="0.35">
      <c r="A16" s="150" t="s">
        <v>49</v>
      </c>
      <c r="B16" s="18"/>
      <c r="C16" s="1" t="str">
        <f>'Nutrition STONF'!C16</f>
        <v>Iron [Mandatory]</v>
      </c>
      <c r="D16" s="1" t="str">
        <f>'Nutrition STONF'!D16</f>
        <v>Potassium [Mandatory]</v>
      </c>
      <c r="E16" s="1" t="str">
        <f>'Nutrition STONF'!E16</f>
        <v>Calcium [Mandatory]</v>
      </c>
    </row>
    <row r="17" spans="1:6" x14ac:dyDescent="0.35">
      <c r="A17" s="150"/>
      <c r="B17" s="18" t="s">
        <v>50</v>
      </c>
      <c r="C17" s="22" cm="1">
        <f t="array" aca="1" ref="C17" ca="1">INDIRECT("'"&amp;D2&amp;"'!P8")</f>
        <v>0.24582582000000003</v>
      </c>
      <c r="D17" s="22" cm="1">
        <f t="array" aca="1" ref="D17" ca="1">INDIRECT("'"&amp;D2&amp;"'!Q8")</f>
        <v>25.6918905</v>
      </c>
      <c r="E17" s="22" cm="1">
        <f t="array" aca="1" ref="E17" ca="1">INDIRECT("'"&amp;D2&amp;"'!S8")</f>
        <v>5.4995528879999993</v>
      </c>
    </row>
    <row r="18" spans="1:6" x14ac:dyDescent="0.35">
      <c r="A18" s="150"/>
      <c r="B18" s="18" t="s">
        <v>51</v>
      </c>
      <c r="C18" s="1">
        <f>'Nutrition STONF'!C18</f>
        <v>18</v>
      </c>
      <c r="D18" s="1">
        <f>'Nutrition STONF'!D18</f>
        <v>4700</v>
      </c>
      <c r="E18" s="1">
        <f>'Nutrition STONF'!E18</f>
        <v>1300</v>
      </c>
    </row>
    <row r="19" spans="1:6" x14ac:dyDescent="0.35">
      <c r="A19" s="150"/>
      <c r="B19" s="18" t="s">
        <v>53</v>
      </c>
      <c r="C19" s="26">
        <f ca="1">C17/C18</f>
        <v>1.3656990000000001E-2</v>
      </c>
      <c r="D19" s="26">
        <f t="shared" ref="D19:E19" ca="1" si="0">D17/D18</f>
        <v>5.4663596808510635E-3</v>
      </c>
      <c r="E19" s="26">
        <f t="shared" ca="1" si="0"/>
        <v>4.2304252984615379E-3</v>
      </c>
    </row>
    <row r="20" spans="1:6" ht="39" x14ac:dyDescent="0.35">
      <c r="A20" s="150"/>
      <c r="B20" s="18"/>
      <c r="C20" s="1" t="str">
        <f>'Nutrition STONF'!C20</f>
        <v>&lt;2% DV: shall not be declared 
&gt; 2% DV: round to nearest 0.1 mg and round to nearest % DV</v>
      </c>
      <c r="D20" s="1" t="str">
        <f>'Nutrition STONF'!D20</f>
        <v>&lt;2% DV: shall not be declared 
&gt; 2% DV: round to nearest 10 mg and round to nearest % DV</v>
      </c>
      <c r="E20" s="1" t="str">
        <f>'Nutrition STONF'!E20</f>
        <v>&lt;2% DV: shall not be declared 
&gt; 2% DV: round to nearest 10 mg and round to nearest % DV</v>
      </c>
    </row>
    <row r="21" spans="1:6" x14ac:dyDescent="0.35">
      <c r="A21" s="150"/>
      <c r="B21" s="18" t="s">
        <v>56</v>
      </c>
      <c r="C21" s="31"/>
      <c r="D21" s="31" t="s">
        <v>60</v>
      </c>
      <c r="E21" s="31" t="s">
        <v>131</v>
      </c>
    </row>
    <row r="23" spans="1:6" x14ac:dyDescent="0.35">
      <c r="A23" s="150" t="s">
        <v>49</v>
      </c>
      <c r="B23" s="18"/>
      <c r="C23" s="1" t="str">
        <f>'Nutrition STONF'!C23</f>
        <v>Vitamin A [Voluntary]</v>
      </c>
      <c r="D23" s="1" t="str">
        <f>'Nutrition STONF'!D23</f>
        <v>Vitamin C [Voluntary]</v>
      </c>
      <c r="E23" s="1" t="str">
        <f>'Nutrition STONF'!E23</f>
        <v>Vitamin D [Mandatory]</v>
      </c>
      <c r="F23" s="1" t="str">
        <f>'Nutrition STONF'!F23</f>
        <v>Protein</v>
      </c>
    </row>
    <row r="24" spans="1:6" x14ac:dyDescent="0.35">
      <c r="A24" s="150"/>
      <c r="B24" s="18" t="s">
        <v>50</v>
      </c>
      <c r="C24" s="23" cm="1">
        <f t="array" aca="1" ref="C24" ca="1">INDIRECT("'"&amp;D2&amp;"'!T8")</f>
        <v>0</v>
      </c>
      <c r="D24" s="24" cm="1">
        <f t="array" aca="1" ref="D24" ca="1">INDIRECT("'"&amp;D2&amp;"'!U8")</f>
        <v>0</v>
      </c>
      <c r="E24" s="24" cm="1">
        <f t="array" aca="1" ref="E24" ca="1">INDIRECT("'"&amp;D2&amp;"'!V8")</f>
        <v>0</v>
      </c>
      <c r="F24" s="21" cm="1">
        <f t="array" aca="1" ref="F24" ca="1">INDIRECT("'"&amp;D2&amp;"'!W8")</f>
        <v>0.10890944640000001</v>
      </c>
    </row>
    <row r="25" spans="1:6" x14ac:dyDescent="0.35">
      <c r="A25" s="150"/>
      <c r="B25" s="18" t="s">
        <v>51</v>
      </c>
      <c r="C25" s="1" t="str">
        <f>'Nutrition STONF'!C25</f>
        <v>900 mcg RAE</v>
      </c>
      <c r="D25" s="1">
        <f>'Nutrition STONF'!D25</f>
        <v>90</v>
      </c>
      <c r="E25" s="1" t="str">
        <f>'Nutrition STONF'!E25</f>
        <v>20 microgram</v>
      </c>
      <c r="F25" s="1" t="str">
        <f>'Nutrition STONF'!F25</f>
        <v>NA</v>
      </c>
    </row>
    <row r="26" spans="1:6" x14ac:dyDescent="0.35">
      <c r="A26" s="150"/>
      <c r="B26" s="18" t="s">
        <v>53</v>
      </c>
      <c r="C26" s="26" t="s">
        <v>52</v>
      </c>
      <c r="D26" s="26" t="s">
        <v>52</v>
      </c>
      <c r="E26" s="26">
        <f ca="1">E24/20</f>
        <v>0</v>
      </c>
      <c r="F26" s="26" t="s">
        <v>52</v>
      </c>
    </row>
    <row r="27" spans="1:6" ht="78" x14ac:dyDescent="0.35">
      <c r="A27" s="150"/>
      <c r="B27" s="18"/>
      <c r="C27" s="1" t="str">
        <f>'Nutrition STONF'!C27</f>
        <v>&lt;2% DV: shall not be declared 
&gt; 2% DV: round to nearest 10 mcg RAE and round to nearest % DV</v>
      </c>
      <c r="D27" s="1" t="str">
        <f>'Nutrition STONF'!D27</f>
        <v>&lt;2% DV: shall not be declared 
&gt; 2% DV: round to nearest 1 mg and round to nearest % DV</v>
      </c>
      <c r="E27" s="1" t="str">
        <f>'Nutrition STONF'!E27</f>
        <v>&lt;2% DV: shall not be declared 
&gt; 2% DV: round to nearest 0.1 mcg and round to nearest % DV</v>
      </c>
      <c r="F27" s="1" t="str">
        <f>'Nutrition STONF'!F27</f>
        <v>&lt; 0.5g - express as 0
&lt; 1g - express as "contains less than 1g" or "less than 1g"
≥1g - express to nearest 1g increment
Insignificant amount is &lt; 0.5g</v>
      </c>
    </row>
    <row r="28" spans="1:6" x14ac:dyDescent="0.35">
      <c r="A28" s="150"/>
      <c r="B28" s="18" t="s">
        <v>56</v>
      </c>
      <c r="C28" s="31" t="s">
        <v>61</v>
      </c>
      <c r="D28" s="31" t="s">
        <v>62</v>
      </c>
      <c r="E28" s="31">
        <v>0</v>
      </c>
      <c r="F28" s="31" t="s">
        <v>63</v>
      </c>
    </row>
    <row r="30" spans="1:6" x14ac:dyDescent="0.35">
      <c r="A30" s="149" t="s">
        <v>64</v>
      </c>
      <c r="B30" s="18"/>
      <c r="C30" s="1" t="str">
        <f>'Nutrition STONF'!C30</f>
        <v>Total Fat</v>
      </c>
      <c r="D30" s="1" t="str">
        <f>'Nutrition STONF'!D30</f>
        <v>Saturated Fat</v>
      </c>
      <c r="E30" s="1" t="str">
        <f>'Nutrition STONF'!E30</f>
        <v>Trans Fat</v>
      </c>
      <c r="F30" s="1" t="str">
        <f>'Nutrition STONF'!F30</f>
        <v>Cholesterol</v>
      </c>
    </row>
    <row r="31" spans="1:6" x14ac:dyDescent="0.35">
      <c r="A31" s="149"/>
      <c r="B31" s="18" t="s">
        <v>50</v>
      </c>
      <c r="C31" s="21" cm="1">
        <f t="array" aca="1" ref="C31" ca="1">INDIRECT("'"&amp;D2&amp;"'!G8")</f>
        <v>3.0629664000000001E-2</v>
      </c>
      <c r="D31" s="21" cm="1">
        <f t="array" aca="1" ref="D31" ca="1">INDIRECT("'"&amp;D2&amp;"'!H8")</f>
        <v>5.0341824E-3</v>
      </c>
      <c r="E31" s="21" cm="1">
        <f t="array" aca="1" ref="E31" ca="1">INDIRECT("'"&amp;D2&amp;"'!I8")</f>
        <v>0</v>
      </c>
      <c r="F31" s="21" cm="1">
        <f t="array" aca="1" ref="F31" ca="1">INDIRECT("'"&amp;D2&amp;"'!J8")</f>
        <v>0</v>
      </c>
    </row>
    <row r="32" spans="1:6" x14ac:dyDescent="0.35">
      <c r="A32" s="149"/>
      <c r="B32" s="18" t="s">
        <v>51</v>
      </c>
      <c r="C32" s="1">
        <f>'Nutrition STONF'!C32</f>
        <v>78</v>
      </c>
      <c r="D32" s="1">
        <f>'Nutrition STONF'!D32</f>
        <v>20</v>
      </c>
      <c r="E32" s="1" t="str">
        <f>'Nutrition STONF'!E32</f>
        <v>NA</v>
      </c>
      <c r="F32" s="1" t="str">
        <f>'Nutrition STONF'!F32</f>
        <v>300 mg</v>
      </c>
    </row>
    <row r="33" spans="1:11" x14ac:dyDescent="0.35">
      <c r="A33" s="149"/>
      <c r="B33" s="18" t="s">
        <v>53</v>
      </c>
      <c r="C33" s="26" t="s">
        <v>52</v>
      </c>
      <c r="D33" s="26" t="s">
        <v>52</v>
      </c>
      <c r="E33" s="26" t="s">
        <v>52</v>
      </c>
      <c r="F33" s="26" t="s">
        <v>52</v>
      </c>
    </row>
    <row r="34" spans="1:11" ht="73.400000000000006" customHeight="1" x14ac:dyDescent="0.35">
      <c r="A34" s="149"/>
      <c r="B34" s="18"/>
      <c r="C34" s="1" t="str">
        <f>'Nutrition STONF'!C34</f>
        <v xml:space="preserve">&lt; 0.5g - express as 0
&lt; 5 g - nearest 0.5 g increment
&gt; 5 g: nearest 1 g increment
</v>
      </c>
      <c r="D34" s="1" t="str">
        <f>'Nutrition STONF'!D34</f>
        <v xml:space="preserve">&lt; 0.5g - express as 0
&lt; 5 g - nearest 0.5 g increment
&gt; 5 g: nearest 1 g increment
</v>
      </c>
      <c r="E34" s="1" t="str">
        <f>'Nutrition STONF'!E34</f>
        <v xml:space="preserve">&lt; 0.5g - express as 0
&lt; 5 g - nearest 0.5 g increment
&gt; 5 g: nearest 1 g increment
</v>
      </c>
      <c r="F34" s="1" t="str">
        <f>'Nutrition STONF'!F34</f>
        <v>&lt; 2mg: express as 0
2-5 mg: "less than 5 mg"
&gt; 5 mg: 5 mg increment</v>
      </c>
    </row>
    <row r="35" spans="1:11" x14ac:dyDescent="0.35">
      <c r="A35" s="149"/>
      <c r="B35" s="18" t="s">
        <v>56</v>
      </c>
      <c r="C35" s="31"/>
      <c r="D35" s="31"/>
      <c r="E35" s="31"/>
      <c r="F35" s="31"/>
    </row>
    <row r="37" spans="1:11" ht="30" customHeight="1" x14ac:dyDescent="0.35">
      <c r="A37" s="149" t="s">
        <v>64</v>
      </c>
      <c r="B37" s="18"/>
      <c r="C37" s="1" t="str">
        <f ca="1">'Nutrition STONF'!C37</f>
        <v>Calories (US Rules)</v>
      </c>
      <c r="D37" s="1" t="str">
        <f>'Nutrition STONF'!D37</f>
        <v>Calories from Fat</v>
      </c>
      <c r="E37" s="1" t="str">
        <f ca="1">'Nutrition STONF'!E37</f>
        <v xml:space="preserve">Sugar </v>
      </c>
      <c r="F37" s="1" t="str">
        <f ca="1">'Nutrition STONF'!F37</f>
        <v>Added Sugars</v>
      </c>
      <c r="G37" s="1" t="str">
        <f ca="1">'Nutrition STONF'!G37</f>
        <v>Sodium</v>
      </c>
    </row>
    <row r="38" spans="1:11" x14ac:dyDescent="0.35">
      <c r="A38" s="149"/>
      <c r="B38" s="18" t="s">
        <v>50</v>
      </c>
      <c r="C38" s="20">
        <f ca="1">C7</f>
        <v>14.192811921600002</v>
      </c>
      <c r="D38" s="20" cm="1">
        <f t="array" aca="1" ref="D38" ca="1">INDIRECT("'"&amp;D2&amp;"'!F8")</f>
        <v>0.13107070080000002</v>
      </c>
      <c r="E38" s="21" cm="1">
        <f t="array" aca="1" ref="E38" ca="1">INDIRECT("'"&amp;D2&amp;"'!N8")</f>
        <v>6.7991940000000001E-2</v>
      </c>
      <c r="F38" s="21" cm="1">
        <f t="array" aca="1" ref="F38" ca="1">INDIRECT("'"&amp;D2&amp;"'!O8")</f>
        <v>0</v>
      </c>
      <c r="G38" s="22" cm="1">
        <f t="array" aca="1" ref="G38" ca="1">INDIRECT("'"&amp;D2&amp;"'!R8")</f>
        <v>5.0119241400000005</v>
      </c>
    </row>
    <row r="39" spans="1:11" x14ac:dyDescent="0.35">
      <c r="A39" s="149"/>
      <c r="B39" s="18"/>
      <c r="C39" s="1" t="str">
        <f>'Nutrition STONF'!C39</f>
        <v>NA</v>
      </c>
      <c r="D39" s="1" t="str">
        <f>'Nutrition STONF'!D39</f>
        <v>NA</v>
      </c>
      <c r="E39" s="1" t="str">
        <f>'Nutrition STONF'!E39</f>
        <v>NA</v>
      </c>
      <c r="F39" s="1">
        <f>'Nutrition STONF'!F39</f>
        <v>50</v>
      </c>
      <c r="G39" s="1">
        <f>'Nutrition STONF'!G39</f>
        <v>2300</v>
      </c>
    </row>
    <row r="40" spans="1:11" x14ac:dyDescent="0.35">
      <c r="A40" s="149"/>
      <c r="B40" s="18" t="s">
        <v>53</v>
      </c>
      <c r="C40" s="25" t="s">
        <v>52</v>
      </c>
      <c r="D40" s="25" t="s">
        <v>52</v>
      </c>
      <c r="E40" s="26" t="s">
        <v>52</v>
      </c>
      <c r="F40" s="26">
        <f t="shared" ref="F40:G40" ca="1" si="1">F38/F39</f>
        <v>0</v>
      </c>
      <c r="G40" s="26">
        <f t="shared" ca="1" si="1"/>
        <v>2.1790974521739134E-3</v>
      </c>
    </row>
    <row r="41" spans="1:11" ht="193.4" customHeight="1" x14ac:dyDescent="0.35">
      <c r="A41" s="149"/>
      <c r="B41" s="18"/>
      <c r="C41" s="1" t="str">
        <f>'Nutrition STONF'!C41</f>
        <v>&lt; 5 cal - express as 0
≤ 50 cal - express to nearest 5 cal increment
&gt; 50 cal - express to nearest 10 cal increment
Insignificant amount is &lt; 5 cal</v>
      </c>
      <c r="D41" s="1" t="str">
        <f>'Nutrition STONF'!D41</f>
        <v>Not required to be declared</v>
      </c>
      <c r="E41" s="1" t="str">
        <f>'Nutrition STONF'!E41</f>
        <v>&lt; 0.5g - express as 0
&lt; 1g - express as "contains less than 1g" or "less than 1g"
≥1g - express to nearest 1g increment
Insignificant amount is &lt; 0.5g</v>
      </c>
      <c r="F41" s="1" t="str">
        <f>'Nutrition STONF'!F41</f>
        <v>&lt; 0.5g - express as 0
&lt; 1g - express as "contains less than 1g" or "less than 1g"
≥1g - express to nearest 1g increment
Insignificant amount is &lt; 0.5g</v>
      </c>
      <c r="G41" s="1" t="str">
        <f>'Nutrition STONF'!G41</f>
        <v>&lt; 5mg - express as 0
5-140mg - express to nearest 5mg increment
&gt; 140mg - express to nearest 10mg increment
Insignificant amount is &lt; 5mg</v>
      </c>
      <c r="K41" s="32"/>
    </row>
    <row r="42" spans="1:11" x14ac:dyDescent="0.35">
      <c r="A42" s="149"/>
      <c r="B42" s="18" t="s">
        <v>56</v>
      </c>
      <c r="C42" s="31" t="s">
        <v>137</v>
      </c>
      <c r="D42" s="31">
        <v>0</v>
      </c>
      <c r="E42" s="30">
        <v>0</v>
      </c>
      <c r="F42" s="31">
        <v>0</v>
      </c>
      <c r="G42" s="31" t="s">
        <v>67</v>
      </c>
      <c r="K42" s="33"/>
    </row>
    <row r="43" spans="1:11" x14ac:dyDescent="0.35">
      <c r="A43" s="29"/>
      <c r="D43" s="28"/>
      <c r="K43" s="34"/>
    </row>
    <row r="44" spans="1:11" x14ac:dyDescent="0.35">
      <c r="D44" s="28"/>
      <c r="K44" s="34"/>
    </row>
    <row r="45" spans="1:11" x14ac:dyDescent="0.35">
      <c r="D45" s="28"/>
    </row>
    <row r="46" spans="1:11" x14ac:dyDescent="0.35">
      <c r="D46" s="28"/>
    </row>
  </sheetData>
  <mergeCells count="6">
    <mergeCell ref="A37:A42"/>
    <mergeCell ref="A5:A7"/>
    <mergeCell ref="A9:A14"/>
    <mergeCell ref="A16:A21"/>
    <mergeCell ref="A23:A28"/>
    <mergeCell ref="A30:A35"/>
  </mergeCells>
  <pageMargins left="0.7" right="0.7" top="0.75" bottom="0.75" header="0.3" footer="0.3"/>
  <pageSetup orientation="portrait" r:id="rId1"/>
  <headerFooter>
    <oddHeader>&amp;R&amp;"Calibri"&amp;10&amp;K000000Highly Restricted&amp;1#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C3975-14B6-433F-8479-6F3577FC866B}">
  <dimension ref="A1:W34"/>
  <sheetViews>
    <sheetView topLeftCell="A4" zoomScaleNormal="100" workbookViewId="0">
      <selection activeCell="A22" sqref="A22"/>
    </sheetView>
  </sheetViews>
  <sheetFormatPr defaultRowHeight="14.5" x14ac:dyDescent="0.35"/>
  <cols>
    <col min="1" max="1" width="3" bestFit="1" customWidth="1"/>
    <col min="2" max="2" width="20.1796875" bestFit="1" customWidth="1"/>
    <col min="3" max="3" width="13.1796875" bestFit="1" customWidth="1"/>
    <col min="4" max="4" width="16.453125" bestFit="1" customWidth="1"/>
    <col min="5" max="6" width="12.6328125" customWidth="1"/>
    <col min="7" max="23" width="12.6328125" style="66" customWidth="1"/>
  </cols>
  <sheetData>
    <row r="1" spans="1:23" s="44" customFormat="1" x14ac:dyDescent="0.35">
      <c r="B1" s="45" t="s">
        <v>88</v>
      </c>
      <c r="C1" s="46">
        <v>46078</v>
      </c>
      <c r="D1" s="47" t="s">
        <v>89</v>
      </c>
      <c r="E1" s="45" t="s">
        <v>90</v>
      </c>
      <c r="F1" s="47" t="s">
        <v>91</v>
      </c>
      <c r="G1" s="64" t="s">
        <v>92</v>
      </c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</row>
    <row r="2" spans="1:23" x14ac:dyDescent="0.35">
      <c r="B2" t="s">
        <v>35</v>
      </c>
    </row>
    <row r="3" spans="1:23" x14ac:dyDescent="0.35">
      <c r="B3" s="13" t="s">
        <v>36</v>
      </c>
    </row>
    <row r="4" spans="1:23" x14ac:dyDescent="0.35">
      <c r="B4" t="s">
        <v>37</v>
      </c>
      <c r="D4" s="37"/>
    </row>
    <row r="5" spans="1:23" x14ac:dyDescent="0.35">
      <c r="B5" t="s">
        <v>38</v>
      </c>
      <c r="C5" t="s">
        <v>3</v>
      </c>
      <c r="D5" s="13" t="s">
        <v>159</v>
      </c>
      <c r="E5" s="37"/>
    </row>
    <row r="6" spans="1:23" ht="15" thickBot="1" x14ac:dyDescent="0.4">
      <c r="B6" s="13" t="s">
        <v>93</v>
      </c>
      <c r="C6" s="13">
        <v>9.4</v>
      </c>
      <c r="D6">
        <f>C6*2</f>
        <v>18.8</v>
      </c>
    </row>
    <row r="7" spans="1:23" ht="15" thickBot="1" x14ac:dyDescent="0.4">
      <c r="B7" s="62" t="s">
        <v>114</v>
      </c>
      <c r="C7" s="63">
        <f>C6</f>
        <v>9.4</v>
      </c>
      <c r="E7" t="s">
        <v>113</v>
      </c>
    </row>
    <row r="8" spans="1:23" ht="27" customHeight="1" x14ac:dyDescent="0.35">
      <c r="B8" s="10" t="s">
        <v>39</v>
      </c>
      <c r="C8" s="11">
        <f>SUM(C14:C34)</f>
        <v>1</v>
      </c>
      <c r="D8" s="16">
        <f>SUM(D14:D21)</f>
        <v>9.4</v>
      </c>
      <c r="E8" s="76">
        <f>SUM(E14:E34)</f>
        <v>34.333061583999999</v>
      </c>
      <c r="F8" s="76">
        <f>SUM(F14:F34)</f>
        <v>0.1919889276</v>
      </c>
      <c r="G8" s="67">
        <f t="shared" ref="G8:W8" si="0">SUM(G14:G34)</f>
        <v>3.8647254000000006E-2</v>
      </c>
      <c r="H8" s="67">
        <f t="shared" si="0"/>
        <v>6.425106800000001E-3</v>
      </c>
      <c r="I8" s="67">
        <f t="shared" si="0"/>
        <v>0</v>
      </c>
      <c r="J8" s="68">
        <f>SUM(J14:J34)</f>
        <v>0</v>
      </c>
      <c r="K8" s="67">
        <f t="shared" si="0"/>
        <v>5.444087080000001</v>
      </c>
      <c r="L8" s="67">
        <f t="shared" si="0"/>
        <v>2.7389024399999999</v>
      </c>
      <c r="M8" s="67">
        <f t="shared" si="0"/>
        <v>2.3042079000000002</v>
      </c>
      <c r="N8" s="67">
        <f t="shared" si="0"/>
        <v>0.12974961000000002</v>
      </c>
      <c r="O8" s="67">
        <f>SUM(O14:O34)</f>
        <v>5.7659130000000003E-2</v>
      </c>
      <c r="P8" s="73">
        <f t="shared" si="0"/>
        <v>0.36553864600000002</v>
      </c>
      <c r="Q8" s="73">
        <f t="shared" si="0"/>
        <v>41.407512769999997</v>
      </c>
      <c r="R8" s="73">
        <f t="shared" si="0"/>
        <v>13.233875728000001</v>
      </c>
      <c r="S8" s="73">
        <f t="shared" si="0"/>
        <v>7.6042534220000011</v>
      </c>
      <c r="T8" s="69">
        <f t="shared" si="0"/>
        <v>0.48929932799999998</v>
      </c>
      <c r="U8" s="68">
        <f t="shared" si="0"/>
        <v>1.63184E-4</v>
      </c>
      <c r="V8" s="70">
        <f t="shared" si="0"/>
        <v>0</v>
      </c>
      <c r="W8" s="67">
        <f t="shared" si="0"/>
        <v>3.2189987638000006</v>
      </c>
    </row>
    <row r="9" spans="1:23" x14ac:dyDescent="0.35">
      <c r="E9" s="148" t="s">
        <v>40</v>
      </c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</row>
    <row r="10" spans="1:23" x14ac:dyDescent="0.35">
      <c r="B10" t="s">
        <v>112</v>
      </c>
      <c r="C10" s="37">
        <v>2</v>
      </c>
      <c r="D10" s="61">
        <f>C6*2</f>
        <v>18.8</v>
      </c>
      <c r="E10" s="76">
        <f>E8*$C$10</f>
        <v>68.666123167999999</v>
      </c>
      <c r="F10" s="76">
        <f t="shared" ref="F10:W10" si="1">F8*$C$10</f>
        <v>0.3839778552</v>
      </c>
      <c r="G10" s="67">
        <f t="shared" si="1"/>
        <v>7.7294508000000012E-2</v>
      </c>
      <c r="H10" s="67">
        <f t="shared" si="1"/>
        <v>1.2850213600000002E-2</v>
      </c>
      <c r="I10" s="67">
        <f t="shared" si="1"/>
        <v>0</v>
      </c>
      <c r="J10" s="68">
        <f t="shared" si="1"/>
        <v>0</v>
      </c>
      <c r="K10" s="67">
        <f t="shared" si="1"/>
        <v>10.888174160000002</v>
      </c>
      <c r="L10" s="67">
        <f t="shared" si="1"/>
        <v>5.4778048799999999</v>
      </c>
      <c r="M10" s="67">
        <f t="shared" si="1"/>
        <v>4.6084158000000004</v>
      </c>
      <c r="N10" s="67">
        <f t="shared" si="1"/>
        <v>0.25949922000000003</v>
      </c>
      <c r="O10" s="67">
        <f t="shared" si="1"/>
        <v>0.11531826000000001</v>
      </c>
      <c r="P10" s="73">
        <f t="shared" si="1"/>
        <v>0.73107729200000005</v>
      </c>
      <c r="Q10" s="73">
        <f t="shared" si="1"/>
        <v>82.815025539999993</v>
      </c>
      <c r="R10" s="73">
        <f t="shared" si="1"/>
        <v>26.467751456000002</v>
      </c>
      <c r="S10" s="73">
        <f t="shared" si="1"/>
        <v>15.208506844000002</v>
      </c>
      <c r="T10" s="69">
        <f t="shared" si="1"/>
        <v>0.97859865599999996</v>
      </c>
      <c r="U10" s="68">
        <f t="shared" si="1"/>
        <v>3.26368E-4</v>
      </c>
      <c r="V10" s="70">
        <f t="shared" si="1"/>
        <v>0</v>
      </c>
      <c r="W10" s="67">
        <f t="shared" si="1"/>
        <v>6.4379975276000012</v>
      </c>
    </row>
    <row r="11" spans="1:23" x14ac:dyDescent="0.35">
      <c r="D11" s="38"/>
    </row>
    <row r="12" spans="1:23" x14ac:dyDescent="0.35">
      <c r="C12" s="100">
        <f>SUM(C14:C34)</f>
        <v>1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</row>
    <row r="13" spans="1:23" s="9" customFormat="1" ht="29" x14ac:dyDescent="0.35">
      <c r="B13" s="9" t="s">
        <v>0</v>
      </c>
      <c r="C13" s="9" t="s">
        <v>41</v>
      </c>
      <c r="D13" s="9" t="s">
        <v>42</v>
      </c>
      <c r="E13" s="9" t="s">
        <v>43</v>
      </c>
      <c r="F13" s="9" t="s">
        <v>5</v>
      </c>
      <c r="G13" s="71" t="s">
        <v>6</v>
      </c>
      <c r="H13" s="71" t="s">
        <v>7</v>
      </c>
      <c r="I13" s="71" t="s">
        <v>8</v>
      </c>
      <c r="J13" s="71" t="s">
        <v>9</v>
      </c>
      <c r="K13" s="71" t="s">
        <v>10</v>
      </c>
      <c r="L13" s="71" t="s">
        <v>11</v>
      </c>
      <c r="M13" s="71" t="s">
        <v>12</v>
      </c>
      <c r="N13" s="71" t="s">
        <v>13</v>
      </c>
      <c r="O13" s="71" t="s">
        <v>14</v>
      </c>
      <c r="P13" s="71" t="s">
        <v>15</v>
      </c>
      <c r="Q13" s="71" t="s">
        <v>16</v>
      </c>
      <c r="R13" s="71" t="s">
        <v>17</v>
      </c>
      <c r="S13" s="71" t="s">
        <v>18</v>
      </c>
      <c r="T13" s="71" t="s">
        <v>19</v>
      </c>
      <c r="U13" s="71" t="s">
        <v>20</v>
      </c>
      <c r="V13" s="71" t="s">
        <v>21</v>
      </c>
      <c r="W13" s="71" t="s">
        <v>22</v>
      </c>
    </row>
    <row r="14" spans="1:23" x14ac:dyDescent="0.35">
      <c r="A14">
        <v>1</v>
      </c>
      <c r="B14" s="14" t="s">
        <v>23</v>
      </c>
      <c r="C14" s="12">
        <v>0.34770000000000001</v>
      </c>
      <c r="D14" s="17">
        <f>C14*$C$7</f>
        <v>3.2683800000000001</v>
      </c>
      <c r="E14" s="76">
        <f>VLOOKUP($B14,Ingredients!$A:$W,5,FALSE)*$D14/100</f>
        <v>11.79231504</v>
      </c>
      <c r="F14" s="76">
        <f>VLOOKUP($B14,Ingredients!$A:$W,6,FALSE)*$D14/100</f>
        <v>0.14125938360000001</v>
      </c>
      <c r="G14" s="67">
        <f>VLOOKUP($B14,Ingredients!$A:$W,7,FALSE)*$D14/100</f>
        <v>3.3010638000000002E-2</v>
      </c>
      <c r="H14" s="67">
        <f>VLOOKUP($B14,Ingredients!$A:$W,8,FALSE)*$D14/100</f>
        <v>5.4255108000000008E-3</v>
      </c>
      <c r="I14" s="67">
        <f>VLOOKUP($B14,Ingredients!$A:$W,9,FALSE)*$D14/100</f>
        <v>0</v>
      </c>
      <c r="J14" s="68">
        <f>VLOOKUP($B14,Ingredients!$A:$W,10,FALSE)*$D14/100</f>
        <v>0</v>
      </c>
      <c r="K14" s="67">
        <f>VLOOKUP($B14,Ingredients!$A:$W,11,FALSE)*$D14/100</f>
        <v>2.8434906</v>
      </c>
      <c r="L14" s="67">
        <f>VLOOKUP($B14,Ingredients!$A:$W,12,FALSE)*$D14/100</f>
        <v>2.7389024399999999</v>
      </c>
      <c r="M14" s="67">
        <f>VLOOKUP($B14,Ingredients!$A:$W,13,FALSE)*$D14/100</f>
        <v>2.3042079000000002</v>
      </c>
      <c r="N14" s="67">
        <f>VLOOKUP($B14,Ingredients!$A:$W,14,FALSE)*$D14/100</f>
        <v>3.26838E-3</v>
      </c>
      <c r="O14" s="67">
        <f>VLOOKUP($B14,Ingredients!$A:$W,15,FALSE)*$D14/100</f>
        <v>0</v>
      </c>
      <c r="P14" s="73">
        <f>VLOOKUP($B14,Ingredients!$A:$W,16,FALSE)*$D14/100</f>
        <v>0.25493364000000002</v>
      </c>
      <c r="Q14" s="73">
        <f>VLOOKUP($B14,Ingredients!$A:$W,17,FALSE)*$D14/100</f>
        <v>27.683178600000002</v>
      </c>
      <c r="R14" s="73">
        <f>VLOOKUP($B14,Ingredients!$A:$W,18,FALSE)*$D14/100</f>
        <v>2.2993053300000001</v>
      </c>
      <c r="S14" s="73">
        <f>VLOOKUP($B14,Ingredients!$A:$W,19,FALSE)*$D14/100</f>
        <v>5.7252212460000003</v>
      </c>
      <c r="T14" s="69">
        <f>VLOOKUP($B14,Ingredients!$A:$W,20,FALSE)*$D14/100</f>
        <v>0</v>
      </c>
      <c r="U14" s="68">
        <f>VLOOKUP($B14,Ingredients!$A:$W,21,FALSE)*$D14/100</f>
        <v>0</v>
      </c>
      <c r="V14" s="70">
        <f>VLOOKUP($B14,Ingredients!$A:$W,22,FALSE)*$D14/100</f>
        <v>0</v>
      </c>
      <c r="W14" s="67">
        <f>VLOOKUP($B14,Ingredients!$A:$W,23,FALSE)*$D14/100</f>
        <v>6.8668663800000002E-2</v>
      </c>
    </row>
    <row r="15" spans="1:23" x14ac:dyDescent="0.35">
      <c r="A15">
        <v>2</v>
      </c>
      <c r="B15" s="14" t="s">
        <v>24</v>
      </c>
      <c r="C15" s="12">
        <v>0.19850000000000001</v>
      </c>
      <c r="D15" s="17">
        <f>C15*$C$7</f>
        <v>1.8659000000000001</v>
      </c>
      <c r="E15" s="76">
        <f>VLOOKUP($B15,Ingredients!$A:$W,5,FALSE)*$D15/100</f>
        <v>7.053102</v>
      </c>
      <c r="F15" s="76">
        <f>VLOOKUP($B15,Ingredients!$A:$W,6,FALSE)*$D15/100</f>
        <v>0</v>
      </c>
      <c r="G15" s="67">
        <f>VLOOKUP($B15,Ingredients!$A:$W,7,FALSE)*$D15/100</f>
        <v>0</v>
      </c>
      <c r="H15" s="67">
        <f>VLOOKUP($B15,Ingredients!$A:$W,8,FALSE)*$D15/100</f>
        <v>0</v>
      </c>
      <c r="I15" s="67">
        <f>VLOOKUP($B15,Ingredients!$A:$W,9,FALSE)*$D15/100</f>
        <v>0</v>
      </c>
      <c r="J15" s="68">
        <f>VLOOKUP($B15,Ingredients!$A:$W,10,FALSE)*$D15/100</f>
        <v>0</v>
      </c>
      <c r="K15" s="67">
        <f>VLOOKUP($B15,Ingredients!$A:$W,11,FALSE)*$D15/100</f>
        <v>1.7576778000000002</v>
      </c>
      <c r="L15" s="67">
        <f>VLOOKUP($B15,Ingredients!$A:$W,12,FALSE)*$D15/100</f>
        <v>0</v>
      </c>
      <c r="M15" s="67">
        <f>VLOOKUP($B15,Ingredients!$A:$W,13,FALSE)*$D15/100</f>
        <v>0</v>
      </c>
      <c r="N15" s="67">
        <f>VLOOKUP($B15,Ingredients!$A:$W,14,FALSE)*$D15/100</f>
        <v>6.5306500000000003E-2</v>
      </c>
      <c r="O15" s="67">
        <f>VLOOKUP($B15,Ingredients!$A:$W,15,FALSE)*$D15/100</f>
        <v>0</v>
      </c>
      <c r="P15" s="73">
        <f>VLOOKUP($B15,Ingredients!$A:$W,16,FALSE)*$D15/100</f>
        <v>9.329500000000001E-3</v>
      </c>
      <c r="Q15" s="73">
        <f>VLOOKUP($B15,Ingredients!$A:$W,17,FALSE)*$D15/100</f>
        <v>0</v>
      </c>
      <c r="R15" s="73">
        <f>VLOOKUP($B15,Ingredients!$A:$W,18,FALSE)*$D15/100</f>
        <v>2.7988499999999998</v>
      </c>
      <c r="S15" s="73">
        <f>VLOOKUP($B15,Ingredients!$A:$W,19,FALSE)*$D15/100</f>
        <v>0.18659000000000003</v>
      </c>
      <c r="T15" s="69">
        <f>VLOOKUP($B15,Ingredients!$A:$W,20,FALSE)*$D15/100</f>
        <v>0</v>
      </c>
      <c r="U15" s="68">
        <f>VLOOKUP($B15,Ingredients!$A:$W,21,FALSE)*$D15/100</f>
        <v>0</v>
      </c>
      <c r="V15" s="70">
        <f>VLOOKUP($B15,Ingredients!$A:$W,22,FALSE)*$D15/100</f>
        <v>0</v>
      </c>
      <c r="W15" s="67">
        <f>VLOOKUP($B15,Ingredients!$A:$W,23,FALSE)*$D15/100</f>
        <v>5.5976999999999997E-3</v>
      </c>
    </row>
    <row r="16" spans="1:23" x14ac:dyDescent="0.35">
      <c r="A16">
        <v>3</v>
      </c>
      <c r="B16" s="14" t="s">
        <v>26</v>
      </c>
      <c r="C16" s="12">
        <v>6.93E-2</v>
      </c>
      <c r="D16" s="17">
        <f>C16*$C$7</f>
        <v>0.65142</v>
      </c>
      <c r="E16" s="76">
        <f>VLOOKUP($B16,Ingredients!$A:$W,5,FALSE)*$D16/100</f>
        <v>1.6090074000000001</v>
      </c>
      <c r="F16" s="76">
        <f>VLOOKUP($B16,Ingredients!$A:$W,6,FALSE)*$D16/100</f>
        <v>0</v>
      </c>
      <c r="G16" s="67">
        <f>VLOOKUP($B16,Ingredients!$A:$W,7,FALSE)*$D16/100</f>
        <v>0</v>
      </c>
      <c r="H16" s="67">
        <f>VLOOKUP($B16,Ingredients!$A:$W,8,FALSE)*$D16/100</f>
        <v>0</v>
      </c>
      <c r="I16" s="67">
        <f>VLOOKUP($B16,Ingredients!$A:$W,9,FALSE)*$D16/100</f>
        <v>0</v>
      </c>
      <c r="J16" s="68">
        <f>VLOOKUP($B16,Ingredients!$A:$W,10,FALSE)*$D16/100</f>
        <v>0</v>
      </c>
      <c r="K16" s="67">
        <f>VLOOKUP($B16,Ingredients!$A:$W,11,FALSE)*$D16/100</f>
        <v>0.64783719000000006</v>
      </c>
      <c r="L16" s="67">
        <f>VLOOKUP($B16,Ingredients!$A:$W,12,FALSE)*$D16/100</f>
        <v>0</v>
      </c>
      <c r="M16" s="67">
        <f>VLOOKUP($B16,Ingredients!$A:$W,13,FALSE)*$D16/100</f>
        <v>0</v>
      </c>
      <c r="N16" s="67">
        <f>VLOOKUP($B16,Ingredients!$A:$W,14,FALSE)*$D16/100</f>
        <v>0</v>
      </c>
      <c r="O16" s="67">
        <f>VLOOKUP($B16,Ingredients!$A:$W,15,FALSE)*$D16/100</f>
        <v>0</v>
      </c>
      <c r="P16" s="73">
        <f>VLOOKUP($B16,Ingredients!$A:$W,16,FALSE)*$D16/100</f>
        <v>0</v>
      </c>
      <c r="Q16" s="73">
        <f>VLOOKUP($B16,Ingredients!$A:$W,17,FALSE)*$D16/100</f>
        <v>1.9542599999999998E-3</v>
      </c>
      <c r="R16" s="73">
        <f>VLOOKUP($B16,Ingredients!$A:$W,18,FALSE)*$D16/100</f>
        <v>1.9542599999999998E-3</v>
      </c>
      <c r="S16" s="73">
        <f>VLOOKUP($B16,Ingredients!$A:$W,19,FALSE)*$D16/100</f>
        <v>1.3028400000000002E-3</v>
      </c>
      <c r="T16" s="69">
        <f>VLOOKUP($B16,Ingredients!$A:$W,20,FALSE)*$D16/100</f>
        <v>0</v>
      </c>
      <c r="U16" s="68">
        <f>VLOOKUP($B16,Ingredients!$A:$W,21,FALSE)*$D16/100</f>
        <v>0</v>
      </c>
      <c r="V16" s="70">
        <f>VLOOKUP($B16,Ingredients!$A:$W,22,FALSE)*$D16/100</f>
        <v>0</v>
      </c>
      <c r="W16" s="67">
        <f>VLOOKUP($B16,Ingredients!$A:$W,23,FALSE)*$D16/100</f>
        <v>0</v>
      </c>
    </row>
    <row r="17" spans="1:23" x14ac:dyDescent="0.35">
      <c r="A17">
        <v>4</v>
      </c>
      <c r="B17" s="14" t="s">
        <v>27</v>
      </c>
      <c r="C17" s="35">
        <v>6.0000000000000001E-3</v>
      </c>
      <c r="D17" s="17">
        <f t="shared" ref="D17:D21" si="2">C17*$C$7</f>
        <v>5.6400000000000006E-2</v>
      </c>
      <c r="E17" s="76">
        <f>VLOOKUP($B17,Ingredients!$A:$W,5,FALSE)*$D17/100</f>
        <v>0</v>
      </c>
      <c r="F17" s="76">
        <f>VLOOKUP($B17,Ingredients!$A:$W,6,FALSE)*$D17/100</f>
        <v>0</v>
      </c>
      <c r="G17" s="67">
        <f>VLOOKUP($B17,Ingredients!$A:$W,7,FALSE)*$D17/100</f>
        <v>0</v>
      </c>
      <c r="H17" s="67">
        <f>VLOOKUP($B17,Ingredients!$A:$W,8,FALSE)*$D17/100</f>
        <v>0</v>
      </c>
      <c r="I17" s="67">
        <f>VLOOKUP($B17,Ingredients!$A:$W,9,FALSE)*$D17/100</f>
        <v>0</v>
      </c>
      <c r="J17" s="68">
        <f>VLOOKUP($B17,Ingredients!$A:$W,10,FALSE)*$D17/100</f>
        <v>0</v>
      </c>
      <c r="K17" s="67">
        <f>VLOOKUP($B17,Ingredients!$A:$W,11,FALSE)*$D17/100</f>
        <v>0</v>
      </c>
      <c r="L17" s="67">
        <f>VLOOKUP($B17,Ingredients!$A:$W,12,FALSE)*$D17/100</f>
        <v>0</v>
      </c>
      <c r="M17" s="67">
        <f>VLOOKUP($B17,Ingredients!$A:$W,13,FALSE)*$D17/100</f>
        <v>0</v>
      </c>
      <c r="N17" s="67">
        <f>VLOOKUP($B17,Ingredients!$A:$W,14,FALSE)*$D17/100</f>
        <v>0</v>
      </c>
      <c r="O17" s="67">
        <f>VLOOKUP($B17,Ingredients!$A:$W,15,FALSE)*$D17/100</f>
        <v>0</v>
      </c>
      <c r="P17" s="73">
        <f>VLOOKUP($B17,Ingredients!$A:$W,16,FALSE)*$D17/100</f>
        <v>9.0240000000000014E-4</v>
      </c>
      <c r="Q17" s="73">
        <f>VLOOKUP($B17,Ingredients!$A:$W,17,FALSE)*$D17/100</f>
        <v>2.2560000000000002E-3</v>
      </c>
      <c r="R17" s="73">
        <f>VLOOKUP($B17,Ingredients!$A:$W,18,FALSE)*$D17/100</f>
        <v>8.4600000000000005E-3</v>
      </c>
      <c r="S17" s="73">
        <f>VLOOKUP($B17,Ingredients!$A:$W,19,FALSE)*$D17/100</f>
        <v>0</v>
      </c>
      <c r="T17" s="69">
        <f>VLOOKUP($B17,Ingredients!$A:$W,20,FALSE)*$D17/100</f>
        <v>0</v>
      </c>
      <c r="U17" s="68">
        <f>VLOOKUP($B17,Ingredients!$A:$W,21,FALSE)*$D17/100</f>
        <v>0</v>
      </c>
      <c r="V17" s="70">
        <f>VLOOKUP($B17,Ingredients!$A:$W,22,FALSE)*$D17/100</f>
        <v>0</v>
      </c>
      <c r="W17" s="67">
        <f>VLOOKUP($B17,Ingredients!$A:$W,23,FALSE)*$D17/100</f>
        <v>0</v>
      </c>
    </row>
    <row r="18" spans="1:23" ht="16.399999999999999" customHeight="1" x14ac:dyDescent="0.35">
      <c r="A18">
        <v>5</v>
      </c>
      <c r="B18" s="14" t="s">
        <v>71</v>
      </c>
      <c r="C18" s="35">
        <v>1.8700000000000001E-2</v>
      </c>
      <c r="D18" s="17">
        <f t="shared" si="2"/>
        <v>0.17578000000000002</v>
      </c>
      <c r="E18" s="76">
        <f>VLOOKUP($B18,Ingredients!$A:$W,5,FALSE)*$D18/100</f>
        <v>0.667964</v>
      </c>
      <c r="F18" s="76">
        <f>VLOOKUP($B18,Ingredients!$A:$W,6,FALSE)*$D18/100</f>
        <v>0</v>
      </c>
      <c r="G18" s="67">
        <f>VLOOKUP($B18,Ingredients!$A:$W,7,FALSE)*$D18/100</f>
        <v>0</v>
      </c>
      <c r="H18" s="67">
        <f>VLOOKUP($B18,Ingredients!$A:$W,8,FALSE)*$D18/100</f>
        <v>0</v>
      </c>
      <c r="I18" s="67">
        <f>VLOOKUP($B18,Ingredients!$A:$W,9,FALSE)*$D18/100</f>
        <v>0</v>
      </c>
      <c r="J18" s="68">
        <f>VLOOKUP($B18,Ingredients!$A:$W,10,FALSE)*$D18/100</f>
        <v>0</v>
      </c>
      <c r="K18" s="67">
        <f>VLOOKUP($B18,Ingredients!$A:$W,11,FALSE)*$D18/100</f>
        <v>0.166991</v>
      </c>
      <c r="L18" s="67">
        <f>VLOOKUP($B18,Ingredients!$A:$W,12,FALSE)*$D18/100</f>
        <v>0</v>
      </c>
      <c r="M18" s="67">
        <f>VLOOKUP($B18,Ingredients!$A:$W,13,FALSE)*$D18/100</f>
        <v>0</v>
      </c>
      <c r="N18" s="67">
        <f>VLOOKUP($B18,Ingredients!$A:$W,14,FALSE)*$D18/100</f>
        <v>5.0976200000000006E-2</v>
      </c>
      <c r="O18" s="67">
        <f>VLOOKUP($B18,Ingredients!$A:$W,15,FALSE)*$D18/100</f>
        <v>4.7460600000000006E-2</v>
      </c>
      <c r="P18" s="73">
        <f>VLOOKUP($B18,Ingredients!$A:$W,16,FALSE)*$D18/100</f>
        <v>0</v>
      </c>
      <c r="Q18" s="73">
        <f>VLOOKUP($B18,Ingredients!$A:$W,17,FALSE)*$D18/100</f>
        <v>0</v>
      </c>
      <c r="R18" s="73">
        <f>VLOOKUP($B18,Ingredients!$A:$W,18,FALSE)*$D18/100</f>
        <v>8.789000000000001E-2</v>
      </c>
      <c r="S18" s="73">
        <f>VLOOKUP($B18,Ingredients!$A:$W,19,FALSE)*$D18/100</f>
        <v>1.7578000000000003E-2</v>
      </c>
      <c r="T18" s="69">
        <f>VLOOKUP($B18,Ingredients!$A:$W,20,FALSE)*$D18/100</f>
        <v>0</v>
      </c>
      <c r="U18" s="68">
        <f>VLOOKUP($B18,Ingredients!$A:$W,21,FALSE)*$D18/100</f>
        <v>0</v>
      </c>
      <c r="V18" s="70">
        <f>VLOOKUP($B18,Ingredients!$A:$W,22,FALSE)*$D18/100</f>
        <v>0</v>
      </c>
      <c r="W18" s="67">
        <f>VLOOKUP($B18,Ingredients!$A:$W,23,FALSE)*$D18/100</f>
        <v>0</v>
      </c>
    </row>
    <row r="19" spans="1:23" x14ac:dyDescent="0.35">
      <c r="A19">
        <v>6</v>
      </c>
      <c r="B19" s="14" t="s">
        <v>30</v>
      </c>
      <c r="C19" s="35">
        <v>2.8E-3</v>
      </c>
      <c r="D19" s="17">
        <f t="shared" si="2"/>
        <v>2.632E-2</v>
      </c>
      <c r="E19" s="76">
        <f>VLOOKUP($B19,Ingredients!$A:$W,5,FALSE)*$D19/100</f>
        <v>0.13022083199999998</v>
      </c>
      <c r="F19" s="76">
        <f>VLOOKUP($B19,Ingredients!$A:$W,6,FALSE)*$D19/100</f>
        <v>5.0692319999999992E-2</v>
      </c>
      <c r="G19" s="67">
        <f>VLOOKUP($B19,Ingredients!$A:$W,7,FALSE)*$D19/100</f>
        <v>5.6324799999999996E-3</v>
      </c>
      <c r="H19" s="67">
        <f>VLOOKUP($B19,Ingredients!$A:$W,8,FALSE)*$D19/100</f>
        <v>9.9752800000000013E-4</v>
      </c>
      <c r="I19" s="67">
        <f>VLOOKUP($B19,Ingredients!$A:$W,9,FALSE)*$D19/100</f>
        <v>0</v>
      </c>
      <c r="J19" s="68">
        <f>VLOOKUP($B19,Ingredients!$A:$W,10,FALSE)*$D19/100</f>
        <v>0</v>
      </c>
      <c r="K19" s="67">
        <f>VLOOKUP($B19,Ingredients!$A:$W,11,FALSE)*$D19/100</f>
        <v>1.9821592000000002E-2</v>
      </c>
      <c r="L19" s="67">
        <f>VLOOKUP($B19,Ingredients!$A:$W,12,FALSE)*$D19/100</f>
        <v>0</v>
      </c>
      <c r="M19" s="67">
        <f>VLOOKUP($B19,Ingredients!$A:$W,13,FALSE)*$D19/100</f>
        <v>0</v>
      </c>
      <c r="N19" s="67">
        <f>VLOOKUP($B19,Ingredients!$A:$W,14,FALSE)*$D19/100</f>
        <v>8.4355599999999982E-3</v>
      </c>
      <c r="O19" s="67">
        <f>VLOOKUP($B19,Ingredients!$A:$W,15,FALSE)*$D19/100</f>
        <v>8.4355599999999982E-3</v>
      </c>
      <c r="P19" s="73">
        <f>VLOOKUP($B19,Ingredients!$A:$W,16,FALSE)*$D19/100</f>
        <v>0</v>
      </c>
      <c r="Q19" s="73">
        <f>VLOOKUP($B19,Ingredients!$A:$W,17,FALSE)*$D19/100</f>
        <v>7.2380000000000003E-4</v>
      </c>
      <c r="R19" s="73">
        <f>VLOOKUP($B19,Ingredients!$A:$W,18,FALSE)*$D19/100</f>
        <v>4.7375999999999995E-5</v>
      </c>
      <c r="S19" s="73">
        <f>VLOOKUP($B19,Ingredients!$A:$W,19,FALSE)*$D19/100</f>
        <v>0</v>
      </c>
      <c r="T19" s="69">
        <f>VLOOKUP($B19,Ingredients!$A:$W,20,FALSE)*$D19/100</f>
        <v>0.48929932799999998</v>
      </c>
      <c r="U19" s="68">
        <f>VLOOKUP($B19,Ingredients!$A:$W,21,FALSE)*$D19/100</f>
        <v>1.63184E-4</v>
      </c>
      <c r="V19" s="70">
        <f>VLOOKUP($B19,Ingredients!$A:$W,22,FALSE)*$D19/100</f>
        <v>0</v>
      </c>
      <c r="W19" s="67">
        <f>VLOOKUP($B19,Ingredients!$A:$W,23,FALSE)*$D19/100</f>
        <v>0</v>
      </c>
    </row>
    <row r="20" spans="1:23" x14ac:dyDescent="0.35">
      <c r="A20">
        <v>7</v>
      </c>
      <c r="B20" s="14" t="s">
        <v>32</v>
      </c>
      <c r="C20" s="35">
        <v>1.1000000000000001E-3</v>
      </c>
      <c r="D20" s="17">
        <f t="shared" si="2"/>
        <v>1.034E-2</v>
      </c>
      <c r="E20" s="76">
        <f>VLOOKUP($B20,Ingredients!$A:$W,5,FALSE)*$D20/100</f>
        <v>3.3158312000000002E-2</v>
      </c>
      <c r="F20" s="76">
        <f>VLOOKUP($B20,Ingredients!$A:$W,6,FALSE)*$D20/100</f>
        <v>3.7224000000000001E-5</v>
      </c>
      <c r="G20" s="67">
        <f>VLOOKUP($B20,Ingredients!$A:$W,7,FALSE)*$D20/100</f>
        <v>4.1359999999999999E-6</v>
      </c>
      <c r="H20" s="67">
        <f>VLOOKUP($B20,Ingredients!$A:$W,8,FALSE)*$D20/100</f>
        <v>2.0679999999999999E-6</v>
      </c>
      <c r="I20" s="67">
        <f>VLOOKUP($B20,Ingredients!$A:$W,9,FALSE)*$D20/100</f>
        <v>0</v>
      </c>
      <c r="J20" s="68">
        <f>VLOOKUP($B20,Ingredients!$A:$W,10,FALSE)*$D20/100</f>
        <v>0</v>
      </c>
      <c r="K20" s="67">
        <f>VLOOKUP($B20,Ingredients!$A:$W,11,FALSE)*$D20/100</f>
        <v>8.2688980000000002E-3</v>
      </c>
      <c r="L20" s="67">
        <f>VLOOKUP($B20,Ingredients!$A:$W,12,FALSE)*$D20/100</f>
        <v>0</v>
      </c>
      <c r="M20" s="67">
        <f>VLOOKUP($B20,Ingredients!$A:$W,13,FALSE)*$D20/100</f>
        <v>0</v>
      </c>
      <c r="N20" s="67">
        <f>VLOOKUP($B20,Ingredients!$A:$W,14,FALSE)*$D20/100</f>
        <v>1.76297E-3</v>
      </c>
      <c r="O20" s="67">
        <f>VLOOKUP($B20,Ingredients!$A:$W,15,FALSE)*$D20/100</f>
        <v>1.76297E-3</v>
      </c>
      <c r="P20" s="73">
        <f>VLOOKUP($B20,Ingredients!$A:$W,16,FALSE)*$D20/100</f>
        <v>9.3060000000000003E-6</v>
      </c>
      <c r="Q20" s="73">
        <f>VLOOKUP($B20,Ingredients!$A:$W,17,FALSE)*$D20/100</f>
        <v>3.01411E-3</v>
      </c>
      <c r="R20" s="73">
        <f>VLOOKUP($B20,Ingredients!$A:$W,18,FALSE)*$D20/100</f>
        <v>8.2647620000000019E-3</v>
      </c>
      <c r="S20" s="73">
        <f>VLOOKUP($B20,Ingredients!$A:$W,19,FALSE)*$D20/100</f>
        <v>8.313359999999999E-4</v>
      </c>
      <c r="T20" s="69">
        <f>VLOOKUP($B20,Ingredients!$A:$W,20,FALSE)*$D20/100</f>
        <v>0</v>
      </c>
      <c r="U20" s="68">
        <f>VLOOKUP($B20,Ingredients!$A:$W,21,FALSE)*$D20/100</f>
        <v>0</v>
      </c>
      <c r="V20" s="70">
        <f>VLOOKUP($B20,Ingredients!$A:$W,22,FALSE)*$D20/100</f>
        <v>0</v>
      </c>
      <c r="W20" s="67">
        <f>VLOOKUP($B20,Ingredients!$A:$W,23,FALSE)*$D20/100</f>
        <v>0</v>
      </c>
    </row>
    <row r="21" spans="1:23" x14ac:dyDescent="0.35">
      <c r="A21">
        <v>8</v>
      </c>
      <c r="B21" s="14" t="s">
        <v>72</v>
      </c>
      <c r="C21" s="35">
        <v>0.35589999999999999</v>
      </c>
      <c r="D21" s="17">
        <f t="shared" si="2"/>
        <v>3.3454600000000001</v>
      </c>
      <c r="E21" s="75">
        <f>VLOOKUP($B21,Ingredients!$A:$W,5,FALSE)*$D21/100</f>
        <v>13.047293999999999</v>
      </c>
      <c r="F21" s="75">
        <f>VLOOKUP($B21,Ingredients!$A:$W,6,FALSE)*$D21/100</f>
        <v>0</v>
      </c>
      <c r="G21" s="67">
        <f>VLOOKUP($B21,Ingredients!$A:$W,7,FALSE)*$D21/100</f>
        <v>0</v>
      </c>
      <c r="H21" s="67">
        <f>VLOOKUP($B21,Ingredients!$A:$W,8,FALSE)*$D21/100</f>
        <v>0</v>
      </c>
      <c r="I21" s="67">
        <f>VLOOKUP($B21,Ingredients!$A:$W,9,FALSE)*$D21/100</f>
        <v>0</v>
      </c>
      <c r="J21" s="68">
        <f>VLOOKUP($B21,Ingredients!$A:$W,10,FALSE)*$D21/100</f>
        <v>0</v>
      </c>
      <c r="K21" s="67">
        <f>VLOOKUP($B21,Ingredients!$A:$W,11,FALSE)*$D21/100</f>
        <v>0</v>
      </c>
      <c r="L21" s="67">
        <f>VLOOKUP($B21,Ingredients!$A:$W,12,FALSE)*$D21/100</f>
        <v>0</v>
      </c>
      <c r="M21" s="67">
        <f>VLOOKUP($B21,Ingredients!$A:$W,13,FALSE)*$D21/100</f>
        <v>0</v>
      </c>
      <c r="N21" s="67">
        <f>VLOOKUP($B21,Ingredients!$A:$W,14,FALSE)*$D21/100</f>
        <v>0</v>
      </c>
      <c r="O21" s="67">
        <f>VLOOKUP($B21,Ingredients!$A:$W,15,FALSE)*$D21/100</f>
        <v>0</v>
      </c>
      <c r="P21" s="73">
        <f>VLOOKUP($B21,Ingredients!$A:$W,16,FALSE)*$D21/100</f>
        <v>0.10036380000000002</v>
      </c>
      <c r="Q21" s="73">
        <f>VLOOKUP($B21,Ingredients!$A:$W,17,FALSE)*$D21/100</f>
        <v>13.716386</v>
      </c>
      <c r="R21" s="73">
        <f>VLOOKUP($B21,Ingredients!$A:$W,18,FALSE)*$D21/100</f>
        <v>8.0291040000000002</v>
      </c>
      <c r="S21" s="73">
        <f>VLOOKUP($B21,Ingredients!$A:$W,19,FALSE)*$D21/100</f>
        <v>1.6727300000000001</v>
      </c>
      <c r="T21" s="69">
        <f>VLOOKUP($B21,Ingredients!$A:$W,20,FALSE)*$D21/100</f>
        <v>0</v>
      </c>
      <c r="U21" s="68">
        <f>VLOOKUP($B21,Ingredients!$A:$W,21,FALSE)*$D21/100</f>
        <v>0</v>
      </c>
      <c r="V21" s="70">
        <f>VLOOKUP($B21,Ingredients!$A:$W,22,FALSE)*$D21/100</f>
        <v>0</v>
      </c>
      <c r="W21" s="67">
        <f>VLOOKUP($B21,Ingredients!$A:$W,23,FALSE)*$D21/100</f>
        <v>3.1447324000000005</v>
      </c>
    </row>
    <row r="22" spans="1:23" x14ac:dyDescent="0.35">
      <c r="A22">
        <v>9</v>
      </c>
      <c r="B22" s="14"/>
      <c r="C22" s="35"/>
      <c r="D22" s="17"/>
      <c r="E22" s="75"/>
      <c r="F22" s="75"/>
      <c r="G22" s="67"/>
      <c r="H22" s="67"/>
      <c r="I22" s="67"/>
      <c r="J22" s="68"/>
      <c r="K22" s="67"/>
      <c r="L22" s="67"/>
      <c r="M22" s="67"/>
      <c r="N22" s="67"/>
      <c r="O22" s="67"/>
      <c r="P22" s="73"/>
      <c r="Q22" s="73"/>
      <c r="R22" s="73"/>
      <c r="S22" s="73"/>
      <c r="T22" s="69"/>
      <c r="U22" s="68"/>
      <c r="V22" s="70"/>
      <c r="W22" s="67"/>
    </row>
    <row r="23" spans="1:23" x14ac:dyDescent="0.35">
      <c r="A23">
        <v>10</v>
      </c>
      <c r="B23" s="14"/>
      <c r="C23" s="13"/>
      <c r="D23" s="17"/>
      <c r="E23" s="75"/>
      <c r="F23" s="75"/>
      <c r="G23" s="67"/>
      <c r="H23" s="67"/>
      <c r="I23" s="67"/>
      <c r="J23" s="68"/>
      <c r="K23" s="67"/>
      <c r="L23" s="67"/>
      <c r="M23" s="67"/>
      <c r="N23" s="67"/>
      <c r="O23" s="67"/>
      <c r="P23" s="73"/>
      <c r="Q23" s="73"/>
      <c r="R23" s="73"/>
      <c r="S23" s="73"/>
      <c r="T23" s="69"/>
      <c r="U23" s="68"/>
      <c r="V23" s="70"/>
      <c r="W23" s="67"/>
    </row>
    <row r="24" spans="1:23" x14ac:dyDescent="0.35">
      <c r="A24">
        <v>11</v>
      </c>
      <c r="B24" s="14"/>
      <c r="C24" s="13"/>
      <c r="D24" s="17"/>
      <c r="E24" s="75"/>
      <c r="F24" s="75"/>
      <c r="G24" s="67"/>
      <c r="H24" s="67"/>
      <c r="I24" s="67"/>
      <c r="J24" s="68"/>
      <c r="K24" s="67"/>
      <c r="L24" s="67"/>
      <c r="M24" s="67"/>
      <c r="N24" s="67"/>
      <c r="O24" s="67"/>
      <c r="P24" s="73"/>
      <c r="Q24" s="73"/>
      <c r="R24" s="73"/>
      <c r="S24" s="73"/>
      <c r="T24" s="69"/>
      <c r="U24" s="68"/>
      <c r="V24" s="70"/>
      <c r="W24" s="67"/>
    </row>
    <row r="25" spans="1:23" x14ac:dyDescent="0.35">
      <c r="A25">
        <v>12</v>
      </c>
      <c r="B25" s="14"/>
      <c r="C25" s="13"/>
      <c r="D25" s="17"/>
      <c r="E25" s="75"/>
      <c r="F25" s="75"/>
      <c r="G25" s="67"/>
      <c r="H25" s="67"/>
      <c r="I25" s="67"/>
      <c r="J25" s="68"/>
      <c r="K25" s="67"/>
      <c r="L25" s="67"/>
      <c r="M25" s="67"/>
      <c r="N25" s="67"/>
      <c r="O25" s="67"/>
      <c r="P25" s="73"/>
      <c r="Q25" s="73"/>
      <c r="R25" s="73"/>
      <c r="S25" s="73"/>
      <c r="T25" s="69"/>
      <c r="U25" s="68"/>
      <c r="V25" s="70"/>
      <c r="W25" s="67"/>
    </row>
    <row r="26" spans="1:23" x14ac:dyDescent="0.35">
      <c r="A26">
        <v>13</v>
      </c>
      <c r="B26" s="14"/>
      <c r="C26" s="13"/>
      <c r="D26" s="17"/>
      <c r="E26" s="75"/>
      <c r="F26" s="75"/>
      <c r="G26" s="67"/>
      <c r="H26" s="67"/>
      <c r="I26" s="67"/>
      <c r="J26" s="68"/>
      <c r="K26" s="67"/>
      <c r="L26" s="67"/>
      <c r="M26" s="67"/>
      <c r="N26" s="67"/>
      <c r="O26" s="67"/>
      <c r="P26" s="73"/>
      <c r="Q26" s="73"/>
      <c r="R26" s="73"/>
      <c r="S26" s="73"/>
      <c r="T26" s="69"/>
      <c r="U26" s="68"/>
      <c r="V26" s="70"/>
      <c r="W26" s="67"/>
    </row>
    <row r="27" spans="1:23" x14ac:dyDescent="0.35">
      <c r="A27">
        <v>14</v>
      </c>
      <c r="B27" s="14"/>
      <c r="C27" s="13"/>
      <c r="D27" s="17"/>
      <c r="E27" s="75"/>
      <c r="F27" s="75"/>
      <c r="G27" s="67"/>
      <c r="H27" s="67"/>
      <c r="I27" s="67"/>
      <c r="J27" s="68"/>
      <c r="K27" s="67"/>
      <c r="L27" s="67"/>
      <c r="M27" s="67"/>
      <c r="N27" s="67"/>
      <c r="O27" s="67"/>
      <c r="P27" s="73"/>
      <c r="Q27" s="73"/>
      <c r="R27" s="73"/>
      <c r="S27" s="73"/>
      <c r="T27" s="69"/>
      <c r="U27" s="68"/>
      <c r="V27" s="70"/>
      <c r="W27" s="67"/>
    </row>
    <row r="28" spans="1:23" x14ac:dyDescent="0.35">
      <c r="A28">
        <v>15</v>
      </c>
      <c r="B28" s="14"/>
      <c r="C28" s="13"/>
      <c r="D28" s="17"/>
      <c r="E28" s="75"/>
      <c r="F28" s="75"/>
      <c r="G28" s="67"/>
      <c r="H28" s="67"/>
      <c r="I28" s="67"/>
      <c r="J28" s="68"/>
      <c r="K28" s="67"/>
      <c r="L28" s="67"/>
      <c r="M28" s="67"/>
      <c r="N28" s="67"/>
      <c r="O28" s="67"/>
      <c r="P28" s="73"/>
      <c r="Q28" s="73"/>
      <c r="R28" s="73"/>
      <c r="S28" s="73"/>
      <c r="T28" s="69"/>
      <c r="U28" s="68"/>
      <c r="V28" s="70"/>
      <c r="W28" s="67"/>
    </row>
    <row r="29" spans="1:23" x14ac:dyDescent="0.35">
      <c r="A29">
        <v>16</v>
      </c>
      <c r="B29" s="14"/>
      <c r="C29" s="13"/>
      <c r="D29" s="17"/>
      <c r="E29" s="15"/>
      <c r="F29" s="15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</row>
    <row r="30" spans="1:23" x14ac:dyDescent="0.35">
      <c r="A30">
        <v>17</v>
      </c>
      <c r="B30" s="14"/>
      <c r="C30" s="13"/>
      <c r="D30" s="17"/>
      <c r="E30" s="15"/>
      <c r="F30" s="15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</row>
    <row r="31" spans="1:23" x14ac:dyDescent="0.35">
      <c r="A31">
        <v>18</v>
      </c>
      <c r="B31" s="14"/>
      <c r="C31" s="13"/>
      <c r="D31" s="17"/>
      <c r="E31" s="15"/>
      <c r="F31" s="15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</row>
    <row r="32" spans="1:23" x14ac:dyDescent="0.35">
      <c r="A32">
        <v>19</v>
      </c>
      <c r="B32" s="14"/>
      <c r="C32" s="13"/>
      <c r="D32" s="17"/>
      <c r="E32" s="15"/>
      <c r="F32" s="15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</row>
    <row r="33" spans="1:23" x14ac:dyDescent="0.35">
      <c r="A33">
        <v>20</v>
      </c>
      <c r="B33" s="14"/>
      <c r="C33" s="13"/>
      <c r="D33" s="17"/>
      <c r="E33" s="15"/>
      <c r="F33" s="15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</row>
    <row r="34" spans="1:23" x14ac:dyDescent="0.35">
      <c r="A34">
        <v>21</v>
      </c>
      <c r="B34" s="14"/>
      <c r="C34" s="13"/>
      <c r="D34" s="17"/>
      <c r="E34" s="15"/>
      <c r="F34" s="15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</row>
  </sheetData>
  <mergeCells count="1">
    <mergeCell ref="E9:W9"/>
  </mergeCells>
  <pageMargins left="0.7" right="0.7" top="0.75" bottom="0.75" header="0.3" footer="0.3"/>
  <pageSetup orientation="portrait" r:id="rId1"/>
  <headerFooter>
    <oddHeader>&amp;R&amp;"Calibri"&amp;10&amp;K000000Highly Restricted&amp;1#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13BD278-05B0-4269-A5AB-AB2537031984}">
          <x14:formula1>
            <xm:f>Ingredients!$A$3:$A$1048576</xm:f>
          </x14:formula1>
          <xm:sqref>B14:B34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182DF-1F84-4B36-986D-8B961DC21776}">
  <dimension ref="A1:K46"/>
  <sheetViews>
    <sheetView topLeftCell="A20" zoomScaleNormal="100" workbookViewId="0">
      <selection activeCell="E27" sqref="E27"/>
    </sheetView>
  </sheetViews>
  <sheetFormatPr defaultColWidth="9.1796875" defaultRowHeight="14.5" x14ac:dyDescent="0.35"/>
  <cols>
    <col min="1" max="1" width="17.453125" bestFit="1" customWidth="1"/>
    <col min="2" max="2" width="6.453125" bestFit="1" customWidth="1"/>
    <col min="3" max="3" width="30.54296875" bestFit="1" customWidth="1"/>
    <col min="4" max="4" width="33" customWidth="1"/>
    <col min="5" max="5" width="31.54296875" bestFit="1" customWidth="1"/>
    <col min="6" max="6" width="26.453125" customWidth="1"/>
    <col min="7" max="7" width="27.1796875" customWidth="1"/>
    <col min="8" max="8" width="23.54296875" customWidth="1"/>
    <col min="9" max="9" width="6.81640625" bestFit="1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.81640625" bestFit="1" customWidth="1"/>
    <col min="14" max="14" width="8.1796875" bestFit="1" customWidth="1"/>
    <col min="15" max="15" width="9.453125" bestFit="1" customWidth="1"/>
    <col min="16" max="16" width="8.1796875" bestFit="1" customWidth="1"/>
    <col min="17" max="17" width="7.54296875" bestFit="1" customWidth="1"/>
  </cols>
  <sheetData>
    <row r="1" spans="1:9" x14ac:dyDescent="0.35">
      <c r="A1" s="13" t="s">
        <v>36</v>
      </c>
    </row>
    <row r="2" spans="1:9" x14ac:dyDescent="0.35">
      <c r="A2" t="s">
        <v>94</v>
      </c>
      <c r="B2" s="13" t="s">
        <v>159</v>
      </c>
      <c r="D2" t="str">
        <f>A2&amp;" "&amp; B2</f>
        <v>Formulation STONFC</v>
      </c>
      <c r="G2" cm="1">
        <f t="array" aca="1" ref="G2" ca="1">INDIRECT("'"&amp;D2&amp;"'!C7")</f>
        <v>9.4</v>
      </c>
      <c r="H2" t="s">
        <v>46</v>
      </c>
      <c r="I2" t="s">
        <v>99</v>
      </c>
    </row>
    <row r="3" spans="1:9" x14ac:dyDescent="0.35">
      <c r="A3" t="str">
        <f>'Formulation STOF2'!B6</f>
        <v>Smooth Texture Sugar Free Orange Natural Dyes</v>
      </c>
      <c r="D3" t="s">
        <v>44</v>
      </c>
      <c r="E3" t="s">
        <v>45</v>
      </c>
      <c r="G3" s="27" cm="1">
        <f t="array" aca="1" ref="G3" ca="1">INDIRECT("'"&amp;D2&amp;"'!D6")</f>
        <v>18.8</v>
      </c>
      <c r="H3" t="s">
        <v>46</v>
      </c>
      <c r="I3" t="s">
        <v>100</v>
      </c>
    </row>
    <row r="5" spans="1:9" ht="15.5" x14ac:dyDescent="0.35">
      <c r="A5" s="146" t="s">
        <v>104</v>
      </c>
      <c r="B5" t="s">
        <v>101</v>
      </c>
      <c r="C5" s="18">
        <f ca="1">(4*F24)+(4*C10)+(9*C31)</f>
        <v>35.000168661200007</v>
      </c>
      <c r="D5" s="50" t="s">
        <v>95</v>
      </c>
      <c r="E5" s="74" t="s">
        <v>96</v>
      </c>
      <c r="F5" s="74" t="s">
        <v>98</v>
      </c>
    </row>
    <row r="6" spans="1:9" ht="15.5" x14ac:dyDescent="0.35">
      <c r="A6" s="146"/>
      <c r="B6" t="s">
        <v>102</v>
      </c>
      <c r="C6" s="18">
        <f ca="1">(4*F24)+(9*C31)+(4*(C10-D10))+(2*D10)</f>
        <v>29.522363781200006</v>
      </c>
      <c r="D6" s="50" t="s">
        <v>95</v>
      </c>
      <c r="E6" s="74" t="s">
        <v>97</v>
      </c>
      <c r="F6" s="74" t="s">
        <v>115</v>
      </c>
    </row>
    <row r="7" spans="1:9" ht="15.5" x14ac:dyDescent="0.35">
      <c r="A7" s="146"/>
      <c r="B7" t="s">
        <v>103</v>
      </c>
      <c r="C7" s="18">
        <f ca="1">(4*F24)+(9*C31)+(4*(C10-D10))+(2*E10)</f>
        <v>28.652974701200005</v>
      </c>
      <c r="D7" s="50" t="s">
        <v>95</v>
      </c>
      <c r="E7" s="74" t="s">
        <v>97</v>
      </c>
      <c r="F7" s="74" t="s">
        <v>116</v>
      </c>
    </row>
    <row r="8" spans="1:9" s="51" customFormat="1" ht="7" customHeight="1" x14ac:dyDescent="0.35">
      <c r="C8" s="52"/>
      <c r="D8" s="53"/>
      <c r="E8" s="53"/>
    </row>
    <row r="9" spans="1:9" ht="30" customHeight="1" x14ac:dyDescent="0.35">
      <c r="A9" s="150" t="s">
        <v>49</v>
      </c>
      <c r="B9" s="18"/>
      <c r="C9" s="1" t="str">
        <f ca="1">'Nutrition STONF'!C9</f>
        <v>Total carbohydrate</v>
      </c>
      <c r="D9" s="1" t="str">
        <f ca="1">'Nutrition STONF'!D9</f>
        <v>Total dietary fiber</v>
      </c>
      <c r="E9" s="1" t="str">
        <f ca="1">'Nutrition STONF'!E9</f>
        <v>Soluble fiber</v>
      </c>
    </row>
    <row r="10" spans="1:9" x14ac:dyDescent="0.35">
      <c r="A10" s="150"/>
      <c r="B10" s="18" t="s">
        <v>50</v>
      </c>
      <c r="C10" s="21" cm="1">
        <f t="array" aca="1" ref="C10" ca="1">INDIRECT("'"&amp;D2&amp;"'!K8")</f>
        <v>5.444087080000001</v>
      </c>
      <c r="D10" s="21" cm="1">
        <f t="array" aca="1" ref="D10" ca="1">INDIRECT("'"&amp;D2&amp;"'!L8")</f>
        <v>2.7389024399999999</v>
      </c>
      <c r="E10" s="21" cm="1">
        <f t="array" aca="1" ref="E10" ca="1">INDIRECT("'"&amp;D2&amp;"'!M8")</f>
        <v>2.3042079000000002</v>
      </c>
    </row>
    <row r="11" spans="1:9" x14ac:dyDescent="0.35">
      <c r="A11" s="150"/>
      <c r="B11" s="18" t="s">
        <v>51</v>
      </c>
      <c r="C11" s="1">
        <f>'Nutrition STONF'!C11</f>
        <v>275</v>
      </c>
      <c r="D11" s="1">
        <f>'Nutrition STONF'!D11</f>
        <v>28</v>
      </c>
      <c r="E11" s="1" t="str">
        <f>'Nutrition STONF'!E11</f>
        <v>NA</v>
      </c>
    </row>
    <row r="12" spans="1:9" x14ac:dyDescent="0.35">
      <c r="A12" s="150"/>
      <c r="B12" s="18" t="s">
        <v>53</v>
      </c>
      <c r="C12" s="26">
        <f ca="1">C10/C11</f>
        <v>1.9796680290909096E-2</v>
      </c>
      <c r="D12" s="26">
        <f ca="1">D10/D11</f>
        <v>9.7817944285714289E-2</v>
      </c>
      <c r="E12" s="26" t="s">
        <v>52</v>
      </c>
    </row>
    <row r="13" spans="1:9" ht="127" customHeight="1" x14ac:dyDescent="0.35">
      <c r="A13" s="150"/>
      <c r="B13" s="18"/>
      <c r="C13" s="1" t="str">
        <f>'Nutrition STONF'!C13</f>
        <v>&lt; 0.5g - express as 0
&lt; 1g - express as "contains less than 1g" or "less than 1g"
≥1g - express to nearest 1g increment
Insignificant amount is &lt; 1g</v>
      </c>
      <c r="D13" s="1" t="str">
        <f>'Nutrition STONF'!D13</f>
        <v>&lt; 0.5g - express as 0
&lt; 1g - express as "contains less than 1g" or "less than 1g"
≥1g - express to nearest 1g increment
Insignificant amount is &lt; 1g</v>
      </c>
      <c r="E13" s="1" t="str">
        <f>'Nutrition STONF'!E13</f>
        <v>- Label value  based on calculation of psyllium being 70% soluble fiber (3.4g psyllium * 0.70 = 2.4g)
&lt; 0.5g - express as 0
&lt; 1g - express as "contains less than 1g" or "less than 1g"
≥1g - express to nearest 1g increment
Insignificant amount is &lt; 0.5g</v>
      </c>
    </row>
    <row r="14" spans="1:9" x14ac:dyDescent="0.35">
      <c r="A14" s="150"/>
      <c r="B14" s="18" t="s">
        <v>56</v>
      </c>
      <c r="C14" s="31" t="s">
        <v>57</v>
      </c>
      <c r="D14" s="31" t="s">
        <v>58</v>
      </c>
      <c r="E14" s="31" t="s">
        <v>59</v>
      </c>
    </row>
    <row r="16" spans="1:9" x14ac:dyDescent="0.35">
      <c r="A16" s="150" t="s">
        <v>49</v>
      </c>
      <c r="B16" s="18"/>
      <c r="C16" s="1" t="str">
        <f>'Nutrition STONF'!C16</f>
        <v>Iron [Mandatory]</v>
      </c>
      <c r="D16" s="1" t="str">
        <f>'Nutrition STONF'!D16</f>
        <v>Potassium [Mandatory]</v>
      </c>
      <c r="E16" s="1" t="str">
        <f>'Nutrition STONF'!E16</f>
        <v>Calcium [Mandatory]</v>
      </c>
    </row>
    <row r="17" spans="1:6" x14ac:dyDescent="0.35">
      <c r="A17" s="150"/>
      <c r="B17" s="18" t="s">
        <v>50</v>
      </c>
      <c r="C17" s="22" cm="1">
        <f t="array" aca="1" ref="C17" ca="1">INDIRECT("'"&amp;D2&amp;"'!P8")</f>
        <v>0.36553864600000002</v>
      </c>
      <c r="D17" s="22" cm="1">
        <f t="array" aca="1" ref="D17" ca="1">INDIRECT("'"&amp;D2&amp;"'!Q8")</f>
        <v>41.407512769999997</v>
      </c>
      <c r="E17" s="22" cm="1">
        <f t="array" aca="1" ref="E17" ca="1">INDIRECT("'"&amp;D2&amp;"'!S8")</f>
        <v>7.6042534220000011</v>
      </c>
    </row>
    <row r="18" spans="1:6" x14ac:dyDescent="0.35">
      <c r="A18" s="150"/>
      <c r="B18" s="18" t="s">
        <v>51</v>
      </c>
      <c r="C18" s="1">
        <f>'Nutrition STONF'!C18</f>
        <v>18</v>
      </c>
      <c r="D18" s="1">
        <f>'Nutrition STONF'!D18</f>
        <v>4700</v>
      </c>
      <c r="E18" s="1">
        <f>'Nutrition STONF'!E18</f>
        <v>1300</v>
      </c>
    </row>
    <row r="19" spans="1:6" x14ac:dyDescent="0.35">
      <c r="A19" s="150"/>
      <c r="B19" s="18" t="s">
        <v>53</v>
      </c>
      <c r="C19" s="26">
        <f ca="1">C17/C18</f>
        <v>2.0307702555555557E-2</v>
      </c>
      <c r="D19" s="26">
        <f t="shared" ref="D19:E19" ca="1" si="0">D17/D18</f>
        <v>8.8101090999999996E-3</v>
      </c>
      <c r="E19" s="26">
        <f t="shared" ca="1" si="0"/>
        <v>5.8494257092307697E-3</v>
      </c>
    </row>
    <row r="20" spans="1:6" ht="39" x14ac:dyDescent="0.35">
      <c r="A20" s="150"/>
      <c r="B20" s="18"/>
      <c r="C20" s="1" t="str">
        <f>'Nutrition STONF'!C20</f>
        <v>&lt;2% DV: shall not be declared 
&gt; 2% DV: round to nearest 0.1 mg and round to nearest % DV</v>
      </c>
      <c r="D20" s="1" t="str">
        <f>'Nutrition STONF'!D20</f>
        <v>&lt;2% DV: shall not be declared 
&gt; 2% DV: round to nearest 10 mg and round to nearest % DV</v>
      </c>
      <c r="E20" s="1" t="str">
        <f>'Nutrition STONF'!E20</f>
        <v>&lt;2% DV: shall not be declared 
&gt; 2% DV: round to nearest 10 mg and round to nearest % DV</v>
      </c>
    </row>
    <row r="21" spans="1:6" x14ac:dyDescent="0.35">
      <c r="A21" s="150"/>
      <c r="B21" s="18" t="s">
        <v>56</v>
      </c>
      <c r="C21" s="31"/>
      <c r="D21" s="31" t="s">
        <v>60</v>
      </c>
      <c r="E21" s="31" t="s">
        <v>131</v>
      </c>
    </row>
    <row r="23" spans="1:6" x14ac:dyDescent="0.35">
      <c r="A23" s="150" t="s">
        <v>49</v>
      </c>
      <c r="B23" s="18"/>
      <c r="C23" s="1" t="str">
        <f>'Nutrition STONF'!C23</f>
        <v>Vitamin A [Voluntary]</v>
      </c>
      <c r="D23" s="1" t="str">
        <f>'Nutrition STONF'!D23</f>
        <v>Vitamin C [Voluntary]</v>
      </c>
      <c r="E23" s="1" t="str">
        <f>'Nutrition STONF'!E23</f>
        <v>Vitamin D [Mandatory]</v>
      </c>
      <c r="F23" s="1" t="str">
        <f>'Nutrition STONF'!F23</f>
        <v>Protein</v>
      </c>
    </row>
    <row r="24" spans="1:6" x14ac:dyDescent="0.35">
      <c r="A24" s="150"/>
      <c r="B24" s="18" t="s">
        <v>50</v>
      </c>
      <c r="C24" s="23" cm="1">
        <f t="array" aca="1" ref="C24" ca="1">INDIRECT("'"&amp;D2&amp;"'!T8")</f>
        <v>0.48929932799999998</v>
      </c>
      <c r="D24" s="24" cm="1">
        <f t="array" aca="1" ref="D24" ca="1">INDIRECT("'"&amp;D2&amp;"'!U8")</f>
        <v>1.63184E-4</v>
      </c>
      <c r="E24" s="24" cm="1">
        <f t="array" aca="1" ref="E24" ca="1">INDIRECT("'"&amp;D2&amp;"'!V8")</f>
        <v>0</v>
      </c>
      <c r="F24" s="21" cm="1">
        <f t="array" aca="1" ref="F24" ca="1">INDIRECT("'"&amp;D2&amp;"'!W8")</f>
        <v>3.2189987638000006</v>
      </c>
    </row>
    <row r="25" spans="1:6" x14ac:dyDescent="0.35">
      <c r="A25" s="150"/>
      <c r="B25" s="18" t="s">
        <v>51</v>
      </c>
      <c r="C25" s="1" t="str">
        <f>'Nutrition STONF'!C25</f>
        <v>900 mcg RAE</v>
      </c>
      <c r="D25" s="1">
        <f>'Nutrition STONF'!D25</f>
        <v>90</v>
      </c>
      <c r="E25" s="1" t="str">
        <f>'Nutrition STONF'!E25</f>
        <v>20 microgram</v>
      </c>
      <c r="F25" s="1" t="str">
        <f>'Nutrition STONF'!F25</f>
        <v>NA</v>
      </c>
    </row>
    <row r="26" spans="1:6" x14ac:dyDescent="0.35">
      <c r="A26" s="150"/>
      <c r="B26" s="18" t="s">
        <v>53</v>
      </c>
      <c r="C26" s="26" t="s">
        <v>52</v>
      </c>
      <c r="D26" s="26" t="s">
        <v>52</v>
      </c>
      <c r="E26" s="26">
        <f ca="1">E24/20</f>
        <v>0</v>
      </c>
      <c r="F26" s="26" t="s">
        <v>52</v>
      </c>
    </row>
    <row r="27" spans="1:6" ht="78" x14ac:dyDescent="0.35">
      <c r="A27" s="150"/>
      <c r="B27" s="18"/>
      <c r="C27" s="1" t="str">
        <f>'Nutrition STONF'!C27</f>
        <v>&lt;2% DV: shall not be declared 
&gt; 2% DV: round to nearest 10 mcg RAE and round to nearest % DV</v>
      </c>
      <c r="D27" s="1" t="str">
        <f>'Nutrition STONF'!D27</f>
        <v>&lt;2% DV: shall not be declared 
&gt; 2% DV: round to nearest 1 mg and round to nearest % DV</v>
      </c>
      <c r="E27" s="1" t="str">
        <f>'Nutrition STONF'!E27</f>
        <v>&lt;2% DV: shall not be declared 
&gt; 2% DV: round to nearest 0.1 mcg and round to nearest % DV</v>
      </c>
      <c r="F27" s="1" t="str">
        <f>'Nutrition STONF'!F27</f>
        <v>&lt; 0.5g - express as 0
&lt; 1g - express as "contains less than 1g" or "less than 1g"
≥1g - express to nearest 1g increment
Insignificant amount is &lt; 0.5g</v>
      </c>
    </row>
    <row r="28" spans="1:6" x14ac:dyDescent="0.35">
      <c r="A28" s="150"/>
      <c r="B28" s="18" t="s">
        <v>56</v>
      </c>
      <c r="C28" s="31" t="s">
        <v>61</v>
      </c>
      <c r="D28" s="31" t="s">
        <v>62</v>
      </c>
      <c r="E28" s="31">
        <v>0</v>
      </c>
      <c r="F28" s="31" t="s">
        <v>63</v>
      </c>
    </row>
    <row r="30" spans="1:6" x14ac:dyDescent="0.35">
      <c r="A30" s="149" t="s">
        <v>64</v>
      </c>
      <c r="B30" s="18"/>
      <c r="C30" s="1" t="str">
        <f>'Nutrition STONF'!C30</f>
        <v>Total Fat</v>
      </c>
      <c r="D30" s="1" t="str">
        <f>'Nutrition STONF'!D30</f>
        <v>Saturated Fat</v>
      </c>
      <c r="E30" s="1" t="str">
        <f>'Nutrition STONF'!E30</f>
        <v>Trans Fat</v>
      </c>
      <c r="F30" s="1" t="str">
        <f>'Nutrition STONF'!F30</f>
        <v>Cholesterol</v>
      </c>
    </row>
    <row r="31" spans="1:6" x14ac:dyDescent="0.35">
      <c r="A31" s="149"/>
      <c r="B31" s="18" t="s">
        <v>50</v>
      </c>
      <c r="C31" s="21" cm="1">
        <f t="array" aca="1" ref="C31" ca="1">INDIRECT("'"&amp;D2&amp;"'!G8")</f>
        <v>3.8647254000000006E-2</v>
      </c>
      <c r="D31" s="21" cm="1">
        <f t="array" aca="1" ref="D31" ca="1">INDIRECT("'"&amp;D2&amp;"'!H8")</f>
        <v>6.425106800000001E-3</v>
      </c>
      <c r="E31" s="21" cm="1">
        <f t="array" aca="1" ref="E31" ca="1">INDIRECT("'"&amp;D2&amp;"'!I8")</f>
        <v>0</v>
      </c>
      <c r="F31" s="21" cm="1">
        <f t="array" aca="1" ref="F31" ca="1">INDIRECT("'"&amp;D2&amp;"'!J8")</f>
        <v>0</v>
      </c>
    </row>
    <row r="32" spans="1:6" x14ac:dyDescent="0.35">
      <c r="A32" s="149"/>
      <c r="B32" s="18" t="s">
        <v>51</v>
      </c>
      <c r="C32" s="1">
        <f>'Nutrition STONF'!C32</f>
        <v>78</v>
      </c>
      <c r="D32" s="1">
        <f>'Nutrition STONF'!D32</f>
        <v>20</v>
      </c>
      <c r="E32" s="1" t="str">
        <f>'Nutrition STONF'!E32</f>
        <v>NA</v>
      </c>
      <c r="F32" s="1" t="str">
        <f>'Nutrition STONF'!F32</f>
        <v>300 mg</v>
      </c>
    </row>
    <row r="33" spans="1:11" x14ac:dyDescent="0.35">
      <c r="A33" s="149"/>
      <c r="B33" s="18" t="s">
        <v>53</v>
      </c>
      <c r="C33" s="26" t="s">
        <v>52</v>
      </c>
      <c r="D33" s="26" t="s">
        <v>52</v>
      </c>
      <c r="E33" s="26" t="s">
        <v>52</v>
      </c>
      <c r="F33" s="26" t="s">
        <v>52</v>
      </c>
    </row>
    <row r="34" spans="1:11" ht="73.400000000000006" customHeight="1" x14ac:dyDescent="0.35">
      <c r="A34" s="149"/>
      <c r="B34" s="18"/>
      <c r="C34" s="1" t="str">
        <f>'Nutrition STONF'!C34</f>
        <v xml:space="preserve">&lt; 0.5g - express as 0
&lt; 5 g - nearest 0.5 g increment
&gt; 5 g: nearest 1 g increment
</v>
      </c>
      <c r="D34" s="1" t="str">
        <f>'Nutrition STONF'!D34</f>
        <v xml:space="preserve">&lt; 0.5g - express as 0
&lt; 5 g - nearest 0.5 g increment
&gt; 5 g: nearest 1 g increment
</v>
      </c>
      <c r="E34" s="1" t="str">
        <f>'Nutrition STONF'!E34</f>
        <v xml:space="preserve">&lt; 0.5g - express as 0
&lt; 5 g - nearest 0.5 g increment
&gt; 5 g: nearest 1 g increment
</v>
      </c>
      <c r="F34" s="1" t="str">
        <f>'Nutrition STONF'!F34</f>
        <v>&lt; 2mg: express as 0
2-5 mg: "less than 5 mg"
&gt; 5 mg: 5 mg increment</v>
      </c>
    </row>
    <row r="35" spans="1:11" x14ac:dyDescent="0.35">
      <c r="A35" s="149"/>
      <c r="B35" s="18" t="s">
        <v>56</v>
      </c>
      <c r="C35" s="31"/>
      <c r="D35" s="31"/>
      <c r="E35" s="31"/>
      <c r="F35" s="31"/>
    </row>
    <row r="37" spans="1:11" ht="30" customHeight="1" x14ac:dyDescent="0.35">
      <c r="A37" s="149" t="s">
        <v>64</v>
      </c>
      <c r="B37" s="18"/>
      <c r="C37" s="1" t="str">
        <f ca="1">'Nutrition STONF'!C37</f>
        <v>Calories (US Rules)</v>
      </c>
      <c r="D37" s="1" t="str">
        <f>'Nutrition STONF'!D37</f>
        <v>Calories from Fat</v>
      </c>
      <c r="E37" s="1" t="str">
        <f ca="1">'Nutrition STONF'!E37</f>
        <v xml:space="preserve">Sugar </v>
      </c>
      <c r="F37" s="1" t="str">
        <f ca="1">'Nutrition STONF'!F37</f>
        <v>Added Sugars</v>
      </c>
      <c r="G37" s="1" t="str">
        <f ca="1">'Nutrition STONF'!G37</f>
        <v>Sodium</v>
      </c>
    </row>
    <row r="38" spans="1:11" x14ac:dyDescent="0.35">
      <c r="A38" s="149"/>
      <c r="B38" s="18" t="s">
        <v>50</v>
      </c>
      <c r="C38" s="20">
        <f ca="1">C7</f>
        <v>28.652974701200005</v>
      </c>
      <c r="D38" s="20" cm="1">
        <f t="array" aca="1" ref="D38" ca="1">INDIRECT("'"&amp;D2&amp;"'!F8")</f>
        <v>0.1919889276</v>
      </c>
      <c r="E38" s="21" cm="1">
        <f t="array" aca="1" ref="E38" ca="1">INDIRECT("'"&amp;D2&amp;"'!N8")</f>
        <v>0.12974961000000002</v>
      </c>
      <c r="F38" s="21" cm="1">
        <f t="array" aca="1" ref="F38" ca="1">INDIRECT("'"&amp;D2&amp;"'!O8")</f>
        <v>5.7659130000000003E-2</v>
      </c>
      <c r="G38" s="22" cm="1">
        <f t="array" aca="1" ref="G38" ca="1">INDIRECT("'"&amp;D2&amp;"'!R8")</f>
        <v>13.233875728000001</v>
      </c>
    </row>
    <row r="39" spans="1:11" x14ac:dyDescent="0.35">
      <c r="A39" s="149"/>
      <c r="B39" s="18"/>
      <c r="C39" s="1" t="str">
        <f>'Nutrition STONF'!C39</f>
        <v>NA</v>
      </c>
      <c r="D39" s="1" t="str">
        <f>'Nutrition STONF'!D39</f>
        <v>NA</v>
      </c>
      <c r="E39" s="1" t="str">
        <f>'Nutrition STONF'!E39</f>
        <v>NA</v>
      </c>
      <c r="F39" s="1">
        <f>'Nutrition STONF'!F39</f>
        <v>50</v>
      </c>
      <c r="G39" s="1">
        <f>'Nutrition STONF'!G39</f>
        <v>2300</v>
      </c>
    </row>
    <row r="40" spans="1:11" x14ac:dyDescent="0.35">
      <c r="A40" s="149"/>
      <c r="B40" s="18" t="s">
        <v>53</v>
      </c>
      <c r="C40" s="25" t="s">
        <v>52</v>
      </c>
      <c r="D40" s="25" t="s">
        <v>52</v>
      </c>
      <c r="E40" s="26" t="s">
        <v>52</v>
      </c>
      <c r="F40" s="26">
        <f t="shared" ref="F40:G40" ca="1" si="1">F38/F39</f>
        <v>1.1531826E-3</v>
      </c>
      <c r="G40" s="26">
        <f t="shared" ca="1" si="1"/>
        <v>5.7538590121739138E-3</v>
      </c>
    </row>
    <row r="41" spans="1:11" ht="193.4" customHeight="1" x14ac:dyDescent="0.35">
      <c r="A41" s="149"/>
      <c r="B41" s="18"/>
      <c r="C41" s="1" t="str">
        <f>'Nutrition STONF'!C41</f>
        <v>&lt; 5 cal - express as 0
≤ 50 cal - express to nearest 5 cal increment
&gt; 50 cal - express to nearest 10 cal increment
Insignificant amount is &lt; 5 cal</v>
      </c>
      <c r="D41" s="1" t="str">
        <f>'Nutrition STONF'!D41</f>
        <v>Not required to be declared</v>
      </c>
      <c r="E41" s="1" t="str">
        <f>'Nutrition STONF'!E41</f>
        <v>&lt; 0.5g - express as 0
&lt; 1g - express as "contains less than 1g" or "less than 1g"
≥1g - express to nearest 1g increment
Insignificant amount is &lt; 0.5g</v>
      </c>
      <c r="F41" s="1" t="str">
        <f>'Nutrition STONF'!F41</f>
        <v>&lt; 0.5g - express as 0
&lt; 1g - express as "contains less than 1g" or "less than 1g"
≥1g - express to nearest 1g increment
Insignificant amount is &lt; 0.5g</v>
      </c>
      <c r="G41" s="1" t="str">
        <f>'Nutrition STONF'!G41</f>
        <v>&lt; 5mg - express as 0
5-140mg - express to nearest 5mg increment
&gt; 140mg - express to nearest 10mg increment
Insignificant amount is &lt; 5mg</v>
      </c>
      <c r="K41" s="32"/>
    </row>
    <row r="42" spans="1:11" x14ac:dyDescent="0.35">
      <c r="A42" s="149"/>
      <c r="B42" s="18" t="s">
        <v>56</v>
      </c>
      <c r="C42" s="31" t="s">
        <v>137</v>
      </c>
      <c r="D42" s="31">
        <v>0</v>
      </c>
      <c r="E42" s="30">
        <v>0</v>
      </c>
      <c r="F42" s="31">
        <v>0</v>
      </c>
      <c r="G42" s="31" t="s">
        <v>67</v>
      </c>
      <c r="K42" s="33"/>
    </row>
    <row r="43" spans="1:11" x14ac:dyDescent="0.35">
      <c r="A43" s="29"/>
      <c r="D43" s="28"/>
      <c r="K43" s="34"/>
    </row>
    <row r="44" spans="1:11" x14ac:dyDescent="0.35">
      <c r="D44" s="28"/>
      <c r="K44" s="34"/>
    </row>
    <row r="45" spans="1:11" x14ac:dyDescent="0.35">
      <c r="D45" s="28"/>
    </row>
    <row r="46" spans="1:11" x14ac:dyDescent="0.35">
      <c r="D46" s="28"/>
    </row>
  </sheetData>
  <mergeCells count="6">
    <mergeCell ref="A37:A42"/>
    <mergeCell ref="A5:A7"/>
    <mergeCell ref="A9:A14"/>
    <mergeCell ref="A16:A21"/>
    <mergeCell ref="A23:A28"/>
    <mergeCell ref="A30:A35"/>
  </mergeCells>
  <pageMargins left="0.7" right="0.7" top="0.75" bottom="0.75" header="0.3" footer="0.3"/>
  <pageSetup orientation="portrait" r:id="rId1"/>
  <headerFooter>
    <oddHeader>&amp;R&amp;"Calibri"&amp;10&amp;K000000Highly Restricted&amp;1#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0AEFB-38A6-479A-9158-BCA1E02CB0D2}">
  <dimension ref="A1:W34"/>
  <sheetViews>
    <sheetView topLeftCell="A6" zoomScaleNormal="100" workbookViewId="0">
      <selection activeCell="C21" sqref="C21"/>
    </sheetView>
  </sheetViews>
  <sheetFormatPr defaultRowHeight="14.5" x14ac:dyDescent="0.35"/>
  <cols>
    <col min="1" max="1" width="3" bestFit="1" customWidth="1"/>
    <col min="2" max="2" width="20.1796875" bestFit="1" customWidth="1"/>
    <col min="3" max="3" width="13.1796875" bestFit="1" customWidth="1"/>
    <col min="4" max="4" width="16.453125" bestFit="1" customWidth="1"/>
    <col min="5" max="6" width="12.6328125" customWidth="1"/>
    <col min="7" max="23" width="12.6328125" style="66" customWidth="1"/>
  </cols>
  <sheetData>
    <row r="1" spans="1:23" s="44" customFormat="1" x14ac:dyDescent="0.35">
      <c r="B1" s="45" t="s">
        <v>88</v>
      </c>
      <c r="C1" s="46">
        <v>46078</v>
      </c>
      <c r="D1" s="47" t="s">
        <v>89</v>
      </c>
      <c r="E1" s="45" t="s">
        <v>90</v>
      </c>
      <c r="F1" s="47" t="s">
        <v>91</v>
      </c>
      <c r="G1" s="64" t="s">
        <v>92</v>
      </c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</row>
    <row r="2" spans="1:23" x14ac:dyDescent="0.35">
      <c r="B2" t="s">
        <v>35</v>
      </c>
    </row>
    <row r="3" spans="1:23" x14ac:dyDescent="0.35">
      <c r="B3" s="13" t="s">
        <v>36</v>
      </c>
    </row>
    <row r="4" spans="1:23" x14ac:dyDescent="0.35">
      <c r="B4" t="s">
        <v>37</v>
      </c>
      <c r="D4" s="37"/>
    </row>
    <row r="5" spans="1:23" x14ac:dyDescent="0.35">
      <c r="B5" t="s">
        <v>38</v>
      </c>
      <c r="C5" t="s">
        <v>3</v>
      </c>
      <c r="D5" s="13" t="s">
        <v>144</v>
      </c>
      <c r="E5" s="37"/>
    </row>
    <row r="6" spans="1:23" ht="15" thickBot="1" x14ac:dyDescent="0.4">
      <c r="B6" s="13" t="s">
        <v>93</v>
      </c>
      <c r="C6" s="13">
        <v>11</v>
      </c>
      <c r="D6">
        <f>C6*2</f>
        <v>22</v>
      </c>
    </row>
    <row r="7" spans="1:23" ht="29.5" thickBot="1" x14ac:dyDescent="0.4">
      <c r="B7" s="62" t="s">
        <v>114</v>
      </c>
      <c r="C7" s="63">
        <f>C6</f>
        <v>11</v>
      </c>
      <c r="E7" t="s">
        <v>113</v>
      </c>
      <c r="F7" s="9" t="s">
        <v>5</v>
      </c>
      <c r="G7" s="71" t="s">
        <v>6</v>
      </c>
      <c r="H7" s="71" t="s">
        <v>7</v>
      </c>
      <c r="I7" s="71" t="s">
        <v>8</v>
      </c>
      <c r="J7" s="71" t="s">
        <v>9</v>
      </c>
      <c r="K7" s="71" t="s">
        <v>10</v>
      </c>
      <c r="L7" s="71" t="s">
        <v>11</v>
      </c>
      <c r="M7" s="71" t="s">
        <v>12</v>
      </c>
      <c r="N7" s="71" t="s">
        <v>13</v>
      </c>
      <c r="O7" s="71" t="s">
        <v>14</v>
      </c>
      <c r="P7" s="71" t="s">
        <v>15</v>
      </c>
      <c r="Q7" s="71" t="s">
        <v>16</v>
      </c>
      <c r="R7" s="71" t="s">
        <v>17</v>
      </c>
      <c r="S7" s="71" t="s">
        <v>18</v>
      </c>
      <c r="T7" s="71" t="s">
        <v>19</v>
      </c>
      <c r="U7" s="71" t="s">
        <v>20</v>
      </c>
      <c r="V7" s="71" t="s">
        <v>21</v>
      </c>
      <c r="W7" s="71" t="s">
        <v>22</v>
      </c>
    </row>
    <row r="8" spans="1:23" ht="27" customHeight="1" x14ac:dyDescent="0.35">
      <c r="B8" s="10" t="s">
        <v>39</v>
      </c>
      <c r="C8" s="11">
        <f>SUM(C14:C34)</f>
        <v>0.99999999999999989</v>
      </c>
      <c r="D8" s="16">
        <f>SUM(D14:D21)</f>
        <v>11</v>
      </c>
      <c r="E8" s="76">
        <f>SUM(E14:E34)</f>
        <v>41.276701400000007</v>
      </c>
      <c r="F8" s="76">
        <f>SUM(F14:F34)</f>
        <v>0.14871137600000001</v>
      </c>
      <c r="G8" s="67">
        <f t="shared" ref="G8:W8" si="0">SUM(G14:G34)</f>
        <v>3.4752080000000005E-2</v>
      </c>
      <c r="H8" s="67">
        <f t="shared" si="0"/>
        <v>5.7117280000000001E-3</v>
      </c>
      <c r="I8" s="67">
        <f t="shared" si="0"/>
        <v>0</v>
      </c>
      <c r="J8" s="68">
        <f>SUM(J14:J34)</f>
        <v>0</v>
      </c>
      <c r="K8" s="67">
        <f t="shared" si="0"/>
        <v>10.522113800000001</v>
      </c>
      <c r="L8" s="67">
        <f t="shared" si="0"/>
        <v>2.8833904000000001</v>
      </c>
      <c r="M8" s="67">
        <f t="shared" si="0"/>
        <v>2.4257640000000005</v>
      </c>
      <c r="N8" s="67">
        <f t="shared" si="0"/>
        <v>7.1533902000000005</v>
      </c>
      <c r="O8" s="67">
        <f>SUM(O14:O34)</f>
        <v>7.146165400000001</v>
      </c>
      <c r="P8" s="73">
        <f t="shared" si="0"/>
        <v>0.27193705000000001</v>
      </c>
      <c r="Q8" s="73">
        <f t="shared" si="0"/>
        <v>29.286527600000003</v>
      </c>
      <c r="R8" s="73">
        <f t="shared" si="0"/>
        <v>2.7685613999999994</v>
      </c>
      <c r="S8" s="73">
        <f t="shared" si="0"/>
        <v>6.1177727599999994</v>
      </c>
      <c r="T8" s="69">
        <f t="shared" si="0"/>
        <v>0</v>
      </c>
      <c r="U8" s="68">
        <f t="shared" si="0"/>
        <v>0</v>
      </c>
      <c r="V8" s="70">
        <f t="shared" si="0"/>
        <v>0</v>
      </c>
      <c r="W8" s="67">
        <f t="shared" si="0"/>
        <v>7.229120800000001E-2</v>
      </c>
    </row>
    <row r="9" spans="1:23" x14ac:dyDescent="0.35">
      <c r="E9" s="148" t="s">
        <v>40</v>
      </c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</row>
    <row r="10" spans="1:23" x14ac:dyDescent="0.35">
      <c r="B10" t="s">
        <v>112</v>
      </c>
      <c r="C10" s="37">
        <v>2</v>
      </c>
      <c r="D10" s="61">
        <f>C6*2</f>
        <v>22</v>
      </c>
      <c r="E10" s="76">
        <f>E8*$C$10</f>
        <v>82.553402800000015</v>
      </c>
      <c r="F10" s="76">
        <f t="shared" ref="F10:W10" si="1">F8*$C$10</f>
        <v>0.29742275200000001</v>
      </c>
      <c r="G10" s="67">
        <f t="shared" si="1"/>
        <v>6.9504160000000009E-2</v>
      </c>
      <c r="H10" s="67">
        <f t="shared" si="1"/>
        <v>1.1423456E-2</v>
      </c>
      <c r="I10" s="67">
        <f t="shared" si="1"/>
        <v>0</v>
      </c>
      <c r="J10" s="68">
        <f t="shared" si="1"/>
        <v>0</v>
      </c>
      <c r="K10" s="67">
        <f t="shared" si="1"/>
        <v>21.044227600000003</v>
      </c>
      <c r="L10" s="67">
        <f t="shared" si="1"/>
        <v>5.7667808000000003</v>
      </c>
      <c r="M10" s="67">
        <f t="shared" si="1"/>
        <v>4.851528000000001</v>
      </c>
      <c r="N10" s="67">
        <f t="shared" si="1"/>
        <v>14.306780400000001</v>
      </c>
      <c r="O10" s="67">
        <f t="shared" si="1"/>
        <v>14.292330800000002</v>
      </c>
      <c r="P10" s="73">
        <f t="shared" si="1"/>
        <v>0.54387410000000003</v>
      </c>
      <c r="Q10" s="73">
        <f t="shared" si="1"/>
        <v>58.573055200000006</v>
      </c>
      <c r="R10" s="73">
        <f t="shared" si="1"/>
        <v>5.5371227999999988</v>
      </c>
      <c r="S10" s="73">
        <f t="shared" si="1"/>
        <v>12.235545519999999</v>
      </c>
      <c r="T10" s="69">
        <f t="shared" si="1"/>
        <v>0</v>
      </c>
      <c r="U10" s="68">
        <f t="shared" si="1"/>
        <v>0</v>
      </c>
      <c r="V10" s="70">
        <f t="shared" si="1"/>
        <v>0</v>
      </c>
      <c r="W10" s="67">
        <f t="shared" si="1"/>
        <v>0.14458241600000002</v>
      </c>
    </row>
    <row r="11" spans="1:23" x14ac:dyDescent="0.35">
      <c r="D11" s="38"/>
    </row>
    <row r="12" spans="1:23" x14ac:dyDescent="0.35">
      <c r="C12" s="100">
        <f>SUM(C14:C34)</f>
        <v>0.99999999999999989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</row>
    <row r="13" spans="1:23" s="9" customFormat="1" ht="29" x14ac:dyDescent="0.35">
      <c r="B13" s="9" t="s">
        <v>0</v>
      </c>
      <c r="C13" s="9" t="s">
        <v>41</v>
      </c>
      <c r="D13" s="9" t="s">
        <v>42</v>
      </c>
      <c r="E13" s="9" t="s">
        <v>43</v>
      </c>
      <c r="F13" s="9" t="s">
        <v>5</v>
      </c>
      <c r="G13" s="71" t="s">
        <v>6</v>
      </c>
      <c r="H13" s="71" t="s">
        <v>7</v>
      </c>
      <c r="I13" s="71" t="s">
        <v>8</v>
      </c>
      <c r="J13" s="71" t="s">
        <v>9</v>
      </c>
      <c r="K13" s="71" t="s">
        <v>10</v>
      </c>
      <c r="L13" s="71" t="s">
        <v>11</v>
      </c>
      <c r="M13" s="71" t="s">
        <v>12</v>
      </c>
      <c r="N13" s="71" t="s">
        <v>13</v>
      </c>
      <c r="O13" s="71" t="s">
        <v>14</v>
      </c>
      <c r="P13" s="71" t="s">
        <v>15</v>
      </c>
      <c r="Q13" s="71" t="s">
        <v>16</v>
      </c>
      <c r="R13" s="71" t="s">
        <v>17</v>
      </c>
      <c r="S13" s="71" t="s">
        <v>18</v>
      </c>
      <c r="T13" s="71" t="s">
        <v>19</v>
      </c>
      <c r="U13" s="71" t="s">
        <v>20</v>
      </c>
      <c r="V13" s="71" t="s">
        <v>21</v>
      </c>
      <c r="W13" s="71" t="s">
        <v>22</v>
      </c>
    </row>
    <row r="14" spans="1:23" x14ac:dyDescent="0.35">
      <c r="A14">
        <v>1</v>
      </c>
      <c r="B14" s="14" t="s">
        <v>23</v>
      </c>
      <c r="C14" s="12">
        <v>0.31280000000000002</v>
      </c>
      <c r="D14" s="17">
        <f>C14*$C$7</f>
        <v>3.4408000000000003</v>
      </c>
      <c r="E14" s="76">
        <f>VLOOKUP($B14,Ingredients!$A:$W,5,FALSE)*$D14/100</f>
        <v>12.414406400000003</v>
      </c>
      <c r="F14" s="76">
        <f>VLOOKUP($B14,Ingredients!$A:$W,6,FALSE)*$D14/100</f>
        <v>0.14871137600000001</v>
      </c>
      <c r="G14" s="67">
        <f>VLOOKUP($B14,Ingredients!$A:$W,7,FALSE)*$D14/100</f>
        <v>3.4752080000000005E-2</v>
      </c>
      <c r="H14" s="67">
        <f>VLOOKUP($B14,Ingredients!$A:$W,8,FALSE)*$D14/100</f>
        <v>5.7117280000000001E-3</v>
      </c>
      <c r="I14" s="67">
        <f>VLOOKUP($B14,Ingredients!$A:$W,9,FALSE)*$D14/100</f>
        <v>0</v>
      </c>
      <c r="J14" s="68">
        <f>VLOOKUP($B14,Ingredients!$A:$W,10,FALSE)*$D14/100</f>
        <v>0</v>
      </c>
      <c r="K14" s="67">
        <f>VLOOKUP($B14,Ingredients!$A:$W,11,FALSE)*$D14/100</f>
        <v>2.9934959999999999</v>
      </c>
      <c r="L14" s="67">
        <f>VLOOKUP($B14,Ingredients!$A:$W,12,FALSE)*$D14/100</f>
        <v>2.8833904000000001</v>
      </c>
      <c r="M14" s="67">
        <f>VLOOKUP($B14,Ingredients!$A:$W,13,FALSE)*$D14/100</f>
        <v>2.4257640000000005</v>
      </c>
      <c r="N14" s="67">
        <f>VLOOKUP($B14,Ingredients!$A:$W,14,FALSE)*$D14/100</f>
        <v>3.4408000000000004E-3</v>
      </c>
      <c r="O14" s="67">
        <f>VLOOKUP($B14,Ingredients!$A:$W,15,FALSE)*$D14/100</f>
        <v>0</v>
      </c>
      <c r="P14" s="73">
        <f>VLOOKUP($B14,Ingredients!$A:$W,16,FALSE)*$D14/100</f>
        <v>0.26838240000000002</v>
      </c>
      <c r="Q14" s="73">
        <f>VLOOKUP($B14,Ingredients!$A:$W,17,FALSE)*$D14/100</f>
        <v>29.143576000000003</v>
      </c>
      <c r="R14" s="73">
        <f>VLOOKUP($B14,Ingredients!$A:$W,18,FALSE)*$D14/100</f>
        <v>2.4206028000000002</v>
      </c>
      <c r="S14" s="73">
        <f>VLOOKUP($B14,Ingredients!$A:$W,19,FALSE)*$D14/100</f>
        <v>6.0272493599999999</v>
      </c>
      <c r="T14" s="69">
        <f>VLOOKUP($B14,Ingredients!$A:$W,20,FALSE)*$D14/100</f>
        <v>0</v>
      </c>
      <c r="U14" s="68">
        <f>VLOOKUP($B14,Ingredients!$A:$W,21,FALSE)*$D14/100</f>
        <v>0</v>
      </c>
      <c r="V14" s="70">
        <f>VLOOKUP($B14,Ingredients!$A:$W,22,FALSE)*$D14/100</f>
        <v>0</v>
      </c>
      <c r="W14" s="67">
        <f>VLOOKUP($B14,Ingredients!$A:$W,23,FALSE)*$D14/100</f>
        <v>7.229120800000001E-2</v>
      </c>
    </row>
    <row r="15" spans="1:23" x14ac:dyDescent="0.35">
      <c r="A15">
        <v>2</v>
      </c>
      <c r="B15" s="14" t="s">
        <v>26</v>
      </c>
      <c r="C15" s="12">
        <v>2.3199999999999998E-2</v>
      </c>
      <c r="D15" s="17">
        <f>C15*$C$7</f>
        <v>0.25519999999999998</v>
      </c>
      <c r="E15" s="76">
        <f>VLOOKUP($B15,Ingredients!$A:$W,5,FALSE)*$D15/100</f>
        <v>0.63034400000000002</v>
      </c>
      <c r="F15" s="76">
        <f>VLOOKUP($B15,Ingredients!$A:$W,6,FALSE)*$D15/100</f>
        <v>0</v>
      </c>
      <c r="G15" s="67">
        <f>VLOOKUP($B15,Ingredients!$A:$W,7,FALSE)*$D15/100</f>
        <v>0</v>
      </c>
      <c r="H15" s="67">
        <f>VLOOKUP($B15,Ingredients!$A:$W,8,FALSE)*$D15/100</f>
        <v>0</v>
      </c>
      <c r="I15" s="67">
        <f>VLOOKUP($B15,Ingredients!$A:$W,9,FALSE)*$D15/100</f>
        <v>0</v>
      </c>
      <c r="J15" s="68">
        <f>VLOOKUP($B15,Ingredients!$A:$W,10,FALSE)*$D15/100</f>
        <v>0</v>
      </c>
      <c r="K15" s="67">
        <f>VLOOKUP($B15,Ingredients!$A:$W,11,FALSE)*$D15/100</f>
        <v>0.25379639999999998</v>
      </c>
      <c r="L15" s="67">
        <f>VLOOKUP($B15,Ingredients!$A:$W,12,FALSE)*$D15/100</f>
        <v>0</v>
      </c>
      <c r="M15" s="67">
        <f>VLOOKUP($B15,Ingredients!$A:$W,13,FALSE)*$D15/100</f>
        <v>0</v>
      </c>
      <c r="N15" s="67">
        <f>VLOOKUP($B15,Ingredients!$A:$W,14,FALSE)*$D15/100</f>
        <v>0</v>
      </c>
      <c r="O15" s="67">
        <f>VLOOKUP($B15,Ingredients!$A:$W,15,FALSE)*$D15/100</f>
        <v>0</v>
      </c>
      <c r="P15" s="73">
        <f>VLOOKUP($B15,Ingredients!$A:$W,16,FALSE)*$D15/100</f>
        <v>0</v>
      </c>
      <c r="Q15" s="73">
        <f>VLOOKUP($B15,Ingredients!$A:$W,17,FALSE)*$D15/100</f>
        <v>7.6559999999999985E-4</v>
      </c>
      <c r="R15" s="73">
        <f>VLOOKUP($B15,Ingredients!$A:$W,18,FALSE)*$D15/100</f>
        <v>7.6559999999999985E-4</v>
      </c>
      <c r="S15" s="73">
        <f>VLOOKUP($B15,Ingredients!$A:$W,19,FALSE)*$D15/100</f>
        <v>5.1040000000000005E-4</v>
      </c>
      <c r="T15" s="69">
        <f>VLOOKUP($B15,Ingredients!$A:$W,20,FALSE)*$D15/100</f>
        <v>0</v>
      </c>
      <c r="U15" s="68">
        <f>VLOOKUP($B15,Ingredients!$A:$W,21,FALSE)*$D15/100</f>
        <v>0</v>
      </c>
      <c r="V15" s="70">
        <f>VLOOKUP($B15,Ingredients!$A:$W,22,FALSE)*$D15/100</f>
        <v>0</v>
      </c>
      <c r="W15" s="67">
        <f>VLOOKUP($B15,Ingredients!$A:$W,23,FALSE)*$D15/100</f>
        <v>0</v>
      </c>
    </row>
    <row r="16" spans="1:23" x14ac:dyDescent="0.35">
      <c r="A16">
        <v>3</v>
      </c>
      <c r="B16" s="14" t="s">
        <v>240</v>
      </c>
      <c r="C16" s="12">
        <v>0.64629999999999999</v>
      </c>
      <c r="D16" s="17">
        <f>C16*$C$7</f>
        <v>7.1093000000000002</v>
      </c>
      <c r="E16" s="76">
        <f>VLOOKUP($B16,Ingredients!$A:$W,5,FALSE)*$D16/100</f>
        <v>27.512991000000003</v>
      </c>
      <c r="F16" s="76">
        <f>VLOOKUP($B16,Ingredients!$A:$W,6,FALSE)*$D16/100</f>
        <v>0</v>
      </c>
      <c r="G16" s="67">
        <f>VLOOKUP($B16,Ingredients!$A:$W,7,FALSE)*$D16/100</f>
        <v>0</v>
      </c>
      <c r="H16" s="67">
        <f>VLOOKUP($B16,Ingredients!$A:$W,8,FALSE)*$D16/100</f>
        <v>0</v>
      </c>
      <c r="I16" s="67">
        <f>VLOOKUP($B16,Ingredients!$A:$W,9,FALSE)*$D16/100</f>
        <v>0</v>
      </c>
      <c r="J16" s="68">
        <f>VLOOKUP($B16,Ingredients!$A:$W,10,FALSE)*$D16/100</f>
        <v>0</v>
      </c>
      <c r="K16" s="67">
        <f>VLOOKUP($B16,Ingredients!$A:$W,11,FALSE)*$D16/100</f>
        <v>7.0950814000000006</v>
      </c>
      <c r="L16" s="67">
        <f>VLOOKUP($B16,Ingredients!$A:$W,12,FALSE)*$D16/100</f>
        <v>0</v>
      </c>
      <c r="M16" s="67">
        <f>VLOOKUP($B16,Ingredients!$A:$W,13,FALSE)*$D16/100</f>
        <v>0</v>
      </c>
      <c r="N16" s="67">
        <f>VLOOKUP($B16,Ingredients!$A:$W,14,FALSE)*$D16/100</f>
        <v>7.0950814000000006</v>
      </c>
      <c r="O16" s="67">
        <f>VLOOKUP($B16,Ingredients!$A:$W,15,FALSE)*$D16/100</f>
        <v>7.0950814000000006</v>
      </c>
      <c r="P16" s="73">
        <f>VLOOKUP($B16,Ingredients!$A:$W,16,FALSE)*$D16/100</f>
        <v>3.5546500000000003E-3</v>
      </c>
      <c r="Q16" s="73">
        <f>VLOOKUP($B16,Ingredients!$A:$W,17,FALSE)*$D16/100</f>
        <v>0.14218600000000001</v>
      </c>
      <c r="R16" s="73">
        <f>VLOOKUP($B16,Ingredients!$A:$W,18,FALSE)*$D16/100</f>
        <v>7.1093000000000003E-2</v>
      </c>
      <c r="S16" s="73">
        <f>VLOOKUP($B16,Ingredients!$A:$W,19,FALSE)*$D16/100</f>
        <v>7.1093000000000003E-2</v>
      </c>
      <c r="T16" s="69">
        <f>VLOOKUP($B16,Ingredients!$A:$W,20,FALSE)*$D16/100</f>
        <v>0</v>
      </c>
      <c r="U16" s="68">
        <f>VLOOKUP($B16,Ingredients!$A:$W,21,FALSE)*$D16/100</f>
        <v>0</v>
      </c>
      <c r="V16" s="70">
        <f>VLOOKUP($B16,Ingredients!$A:$W,22,FALSE)*$D16/100</f>
        <v>0</v>
      </c>
      <c r="W16" s="67">
        <f>VLOOKUP($B16,Ingredients!$A:$W,23,FALSE)*$D16/100</f>
        <v>0</v>
      </c>
    </row>
    <row r="17" spans="1:23" x14ac:dyDescent="0.35">
      <c r="A17">
        <v>4</v>
      </c>
      <c r="B17" s="14" t="s">
        <v>71</v>
      </c>
      <c r="C17" s="35">
        <v>1.72E-2</v>
      </c>
      <c r="D17" s="17">
        <f t="shared" ref="D17:D18" si="2">C17*$C$7</f>
        <v>0.18920000000000001</v>
      </c>
      <c r="E17" s="76">
        <f>VLOOKUP($B17,Ingredients!$A:$W,5,FALSE)*$D17/100</f>
        <v>0.71896000000000004</v>
      </c>
      <c r="F17" s="76">
        <f>VLOOKUP($B17,Ingredients!$A:$W,6,FALSE)*$D17/100</f>
        <v>0</v>
      </c>
      <c r="G17" s="67">
        <f>VLOOKUP($B17,Ingredients!$A:$W,7,FALSE)*$D17/100</f>
        <v>0</v>
      </c>
      <c r="H17" s="67">
        <f>VLOOKUP($B17,Ingredients!$A:$W,8,FALSE)*$D17/100</f>
        <v>0</v>
      </c>
      <c r="I17" s="67">
        <f>VLOOKUP($B17,Ingredients!$A:$W,9,FALSE)*$D17/100</f>
        <v>0</v>
      </c>
      <c r="J17" s="68">
        <f>VLOOKUP($B17,Ingredients!$A:$W,10,FALSE)*$D17/100</f>
        <v>0</v>
      </c>
      <c r="K17" s="67">
        <f>VLOOKUP($B17,Ingredients!$A:$W,11,FALSE)*$D17/100</f>
        <v>0.17974000000000001</v>
      </c>
      <c r="L17" s="67">
        <f>VLOOKUP($B17,Ingredients!$A:$W,12,FALSE)*$D17/100</f>
        <v>0</v>
      </c>
      <c r="M17" s="67">
        <f>VLOOKUP($B17,Ingredients!$A:$W,13,FALSE)*$D17/100</f>
        <v>0</v>
      </c>
      <c r="N17" s="67">
        <f>VLOOKUP($B17,Ingredients!$A:$W,14,FALSE)*$D17/100</f>
        <v>5.4868000000000007E-2</v>
      </c>
      <c r="O17" s="67">
        <f>VLOOKUP($B17,Ingredients!$A:$W,15,FALSE)*$D17/100</f>
        <v>5.1084000000000004E-2</v>
      </c>
      <c r="P17" s="73">
        <f>VLOOKUP($B17,Ingredients!$A:$W,16,FALSE)*$D17/100</f>
        <v>0</v>
      </c>
      <c r="Q17" s="73">
        <f>VLOOKUP($B17,Ingredients!$A:$W,17,FALSE)*$D17/100</f>
        <v>0</v>
      </c>
      <c r="R17" s="73">
        <f>VLOOKUP($B17,Ingredients!$A:$W,18,FALSE)*$D17/100</f>
        <v>9.4600000000000004E-2</v>
      </c>
      <c r="S17" s="73">
        <f>VLOOKUP($B17,Ingredients!$A:$W,19,FALSE)*$D17/100</f>
        <v>1.8920000000000003E-2</v>
      </c>
      <c r="T17" s="69">
        <f>VLOOKUP($B17,Ingredients!$A:$W,20,FALSE)*$D17/100</f>
        <v>0</v>
      </c>
      <c r="U17" s="68">
        <f>VLOOKUP($B17,Ingredients!$A:$W,21,FALSE)*$D17/100</f>
        <v>0</v>
      </c>
      <c r="V17" s="70">
        <f>VLOOKUP($B17,Ingredients!$A:$W,22,FALSE)*$D17/100</f>
        <v>0</v>
      </c>
      <c r="W17" s="67">
        <f>VLOOKUP($B17,Ingredients!$A:$W,23,FALSE)*$D17/100</f>
        <v>0</v>
      </c>
    </row>
    <row r="18" spans="1:23" ht="16.399999999999999" customHeight="1" x14ac:dyDescent="0.35">
      <c r="A18">
        <v>5</v>
      </c>
      <c r="B18" s="14" t="s">
        <v>84</v>
      </c>
      <c r="C18" s="35">
        <v>5.0000000000000001E-4</v>
      </c>
      <c r="D18" s="17">
        <f t="shared" si="2"/>
        <v>5.4999999999999997E-3</v>
      </c>
      <c r="E18" s="76">
        <f>VLOOKUP($B18,Ingredients!$A:$W,5,FALSE)*$D18/100</f>
        <v>0</v>
      </c>
      <c r="F18" s="76">
        <f>VLOOKUP($B18,Ingredients!$A:$W,6,FALSE)*$D18/100</f>
        <v>0</v>
      </c>
      <c r="G18" s="67">
        <f>VLOOKUP($B18,Ingredients!$A:$W,7,FALSE)*$D18/100</f>
        <v>0</v>
      </c>
      <c r="H18" s="67">
        <f>VLOOKUP($B18,Ingredients!$A:$W,8,FALSE)*$D18/100</f>
        <v>0</v>
      </c>
      <c r="I18" s="67">
        <f>VLOOKUP($B18,Ingredients!$A:$W,9,FALSE)*$D18/100</f>
        <v>0</v>
      </c>
      <c r="J18" s="68">
        <f>VLOOKUP($B18,Ingredients!$A:$W,10,FALSE)*$D18/100</f>
        <v>0</v>
      </c>
      <c r="K18" s="67">
        <f>VLOOKUP($B18,Ingredients!$A:$W,11,FALSE)*$D18/100</f>
        <v>0</v>
      </c>
      <c r="L18" s="67">
        <f>VLOOKUP($B18,Ingredients!$A:$W,12,FALSE)*$D18/100</f>
        <v>0</v>
      </c>
      <c r="M18" s="67">
        <f>VLOOKUP($B18,Ingredients!$A:$W,13,FALSE)*$D18/100</f>
        <v>0</v>
      </c>
      <c r="N18" s="67">
        <f>VLOOKUP($B18,Ingredients!$A:$W,14,FALSE)*$D18/100</f>
        <v>0</v>
      </c>
      <c r="O18" s="67">
        <f>VLOOKUP($B18,Ingredients!$A:$W,15,FALSE)*$D18/100</f>
        <v>0</v>
      </c>
      <c r="P18" s="73">
        <f>VLOOKUP($B18,Ingredients!$A:$W,16,FALSE)*$D18/100</f>
        <v>0</v>
      </c>
      <c r="Q18" s="73">
        <f>VLOOKUP($B18,Ingredients!$A:$W,17,FALSE)*$D18/100</f>
        <v>0</v>
      </c>
      <c r="R18" s="73">
        <f>VLOOKUP($B18,Ingredients!$A:$W,18,FALSE)*$D18/100</f>
        <v>0.18149999999999999</v>
      </c>
      <c r="S18" s="73">
        <f>VLOOKUP($B18,Ingredients!$A:$W,19,FALSE)*$D18/100</f>
        <v>0</v>
      </c>
      <c r="T18" s="69">
        <f>VLOOKUP($B18,Ingredients!$A:$W,20,FALSE)*$D18/100</f>
        <v>0</v>
      </c>
      <c r="U18" s="68">
        <f>VLOOKUP($B18,Ingredients!$A:$W,21,FALSE)*$D18/100</f>
        <v>0</v>
      </c>
      <c r="V18" s="70">
        <f>VLOOKUP($B18,Ingredients!$A:$W,22,FALSE)*$D18/100</f>
        <v>0</v>
      </c>
      <c r="W18" s="67">
        <f>VLOOKUP($B18,Ingredients!$A:$W,23,FALSE)*$D18/100</f>
        <v>0</v>
      </c>
    </row>
    <row r="19" spans="1:23" x14ac:dyDescent="0.35">
      <c r="A19">
        <v>6</v>
      </c>
      <c r="B19" s="14"/>
      <c r="C19" s="35"/>
      <c r="D19" s="17"/>
      <c r="E19" s="76"/>
      <c r="F19" s="76"/>
      <c r="G19" s="67"/>
      <c r="H19" s="67"/>
      <c r="I19" s="67"/>
      <c r="J19" s="68"/>
      <c r="K19" s="67"/>
      <c r="L19" s="67"/>
      <c r="M19" s="67"/>
      <c r="N19" s="67"/>
      <c r="O19" s="67"/>
      <c r="P19" s="73"/>
      <c r="Q19" s="73"/>
      <c r="R19" s="73"/>
      <c r="S19" s="73"/>
      <c r="T19" s="69"/>
      <c r="U19" s="68"/>
      <c r="V19" s="70"/>
      <c r="W19" s="67"/>
    </row>
    <row r="20" spans="1:23" x14ac:dyDescent="0.35">
      <c r="A20">
        <v>7</v>
      </c>
      <c r="B20" s="14"/>
      <c r="C20" s="35"/>
      <c r="D20" s="17"/>
      <c r="E20" s="76"/>
      <c r="F20" s="76"/>
      <c r="G20" s="67"/>
      <c r="H20" s="67"/>
      <c r="I20" s="67"/>
      <c r="J20" s="68"/>
      <c r="K20" s="67"/>
      <c r="L20" s="67"/>
      <c r="M20" s="67"/>
      <c r="N20" s="67"/>
      <c r="O20" s="67"/>
      <c r="P20" s="73"/>
      <c r="Q20" s="73"/>
      <c r="R20" s="73"/>
      <c r="S20" s="73"/>
      <c r="T20" s="69"/>
      <c r="U20" s="68"/>
      <c r="V20" s="70"/>
      <c r="W20" s="67"/>
    </row>
    <row r="21" spans="1:23" x14ac:dyDescent="0.35">
      <c r="A21">
        <v>8</v>
      </c>
      <c r="B21" s="14"/>
      <c r="C21" s="35"/>
      <c r="D21" s="17"/>
      <c r="E21" s="75"/>
      <c r="F21" s="75"/>
      <c r="G21" s="67"/>
      <c r="H21" s="67"/>
      <c r="I21" s="67"/>
      <c r="J21" s="68"/>
      <c r="K21" s="67"/>
      <c r="L21" s="67"/>
      <c r="M21" s="67"/>
      <c r="N21" s="67"/>
      <c r="O21" s="67"/>
      <c r="P21" s="73"/>
      <c r="Q21" s="73"/>
      <c r="R21" s="73"/>
      <c r="S21" s="73"/>
      <c r="T21" s="69"/>
      <c r="U21" s="68"/>
      <c r="V21" s="70"/>
      <c r="W21" s="67"/>
    </row>
    <row r="22" spans="1:23" x14ac:dyDescent="0.35">
      <c r="A22">
        <v>9</v>
      </c>
      <c r="B22" s="14"/>
      <c r="C22" s="35"/>
      <c r="D22" s="17"/>
      <c r="E22" s="75"/>
      <c r="F22" s="75"/>
      <c r="G22" s="67"/>
      <c r="H22" s="67"/>
      <c r="I22" s="67"/>
      <c r="J22" s="68"/>
      <c r="K22" s="67"/>
      <c r="L22" s="67"/>
      <c r="M22" s="67"/>
      <c r="N22" s="67"/>
      <c r="O22" s="67"/>
      <c r="P22" s="73"/>
      <c r="Q22" s="73"/>
      <c r="R22" s="73"/>
      <c r="S22" s="73"/>
      <c r="T22" s="69"/>
      <c r="U22" s="68"/>
      <c r="V22" s="70"/>
      <c r="W22" s="67"/>
    </row>
    <row r="23" spans="1:23" x14ac:dyDescent="0.35">
      <c r="A23">
        <v>10</v>
      </c>
      <c r="B23" s="14"/>
      <c r="C23" s="13"/>
      <c r="D23" s="17"/>
      <c r="E23" s="75"/>
      <c r="F23" s="75"/>
      <c r="G23" s="67"/>
      <c r="H23" s="67"/>
      <c r="I23" s="67"/>
      <c r="J23" s="68"/>
      <c r="K23" s="67"/>
      <c r="L23" s="67"/>
      <c r="M23" s="67"/>
      <c r="N23" s="67"/>
      <c r="O23" s="67"/>
      <c r="P23" s="73"/>
      <c r="Q23" s="73"/>
      <c r="R23" s="73"/>
      <c r="S23" s="73"/>
      <c r="T23" s="69"/>
      <c r="U23" s="68"/>
      <c r="V23" s="70"/>
      <c r="W23" s="67"/>
    </row>
    <row r="24" spans="1:23" x14ac:dyDescent="0.35">
      <c r="A24">
        <v>11</v>
      </c>
      <c r="B24" s="14"/>
      <c r="C24" s="13"/>
      <c r="D24" s="17"/>
      <c r="E24" s="75"/>
      <c r="F24" s="75"/>
      <c r="G24" s="67"/>
      <c r="H24" s="67"/>
      <c r="I24" s="67"/>
      <c r="J24" s="68"/>
      <c r="K24" s="67"/>
      <c r="L24" s="67"/>
      <c r="M24" s="67"/>
      <c r="N24" s="67"/>
      <c r="O24" s="67"/>
      <c r="P24" s="73"/>
      <c r="Q24" s="73"/>
      <c r="R24" s="73"/>
      <c r="S24" s="73"/>
      <c r="T24" s="69"/>
      <c r="U24" s="68"/>
      <c r="V24" s="70"/>
      <c r="W24" s="67"/>
    </row>
    <row r="25" spans="1:23" x14ac:dyDescent="0.35">
      <c r="A25">
        <v>12</v>
      </c>
      <c r="B25" s="14"/>
      <c r="C25" s="13"/>
      <c r="D25" s="17"/>
      <c r="E25" s="75"/>
      <c r="F25" s="75"/>
      <c r="G25" s="67"/>
      <c r="H25" s="67"/>
      <c r="I25" s="67"/>
      <c r="J25" s="68"/>
      <c r="K25" s="67"/>
      <c r="L25" s="67"/>
      <c r="M25" s="67"/>
      <c r="N25" s="67"/>
      <c r="O25" s="67"/>
      <c r="P25" s="73"/>
      <c r="Q25" s="73"/>
      <c r="R25" s="73"/>
      <c r="S25" s="73"/>
      <c r="T25" s="69"/>
      <c r="U25" s="68"/>
      <c r="V25" s="70"/>
      <c r="W25" s="67"/>
    </row>
    <row r="26" spans="1:23" x14ac:dyDescent="0.35">
      <c r="A26">
        <v>13</v>
      </c>
      <c r="B26" s="14"/>
      <c r="C26" s="13"/>
      <c r="D26" s="17"/>
      <c r="E26" s="75"/>
      <c r="F26" s="75"/>
      <c r="G26" s="67"/>
      <c r="H26" s="67"/>
      <c r="I26" s="67"/>
      <c r="J26" s="68"/>
      <c r="K26" s="67"/>
      <c r="L26" s="67"/>
      <c r="M26" s="67"/>
      <c r="N26" s="67"/>
      <c r="O26" s="67"/>
      <c r="P26" s="73"/>
      <c r="Q26" s="73"/>
      <c r="R26" s="73"/>
      <c r="S26" s="73"/>
      <c r="T26" s="69"/>
      <c r="U26" s="68"/>
      <c r="V26" s="70"/>
      <c r="W26" s="67"/>
    </row>
    <row r="27" spans="1:23" x14ac:dyDescent="0.35">
      <c r="A27">
        <v>14</v>
      </c>
      <c r="B27" s="14"/>
      <c r="C27" s="13"/>
      <c r="D27" s="17"/>
      <c r="E27" s="75"/>
      <c r="F27" s="75"/>
      <c r="G27" s="67"/>
      <c r="H27" s="67"/>
      <c r="I27" s="67"/>
      <c r="J27" s="68"/>
      <c r="K27" s="67"/>
      <c r="L27" s="67"/>
      <c r="M27" s="67"/>
      <c r="N27" s="67"/>
      <c r="O27" s="67"/>
      <c r="P27" s="73"/>
      <c r="Q27" s="73"/>
      <c r="R27" s="73"/>
      <c r="S27" s="73"/>
      <c r="T27" s="69"/>
      <c r="U27" s="68"/>
      <c r="V27" s="70"/>
      <c r="W27" s="67"/>
    </row>
    <row r="28" spans="1:23" x14ac:dyDescent="0.35">
      <c r="A28">
        <v>15</v>
      </c>
      <c r="B28" s="14"/>
      <c r="C28" s="13"/>
      <c r="D28" s="17"/>
      <c r="E28" s="75"/>
      <c r="F28" s="75"/>
      <c r="G28" s="67"/>
      <c r="H28" s="67"/>
      <c r="I28" s="67"/>
      <c r="J28" s="68"/>
      <c r="K28" s="67"/>
      <c r="L28" s="67"/>
      <c r="M28" s="67"/>
      <c r="N28" s="67"/>
      <c r="O28" s="67"/>
      <c r="P28" s="73"/>
      <c r="Q28" s="73"/>
      <c r="R28" s="73"/>
      <c r="S28" s="73"/>
      <c r="T28" s="69"/>
      <c r="U28" s="68"/>
      <c r="V28" s="70"/>
      <c r="W28" s="67"/>
    </row>
    <row r="29" spans="1:23" x14ac:dyDescent="0.35">
      <c r="A29">
        <v>16</v>
      </c>
      <c r="B29" s="14"/>
      <c r="C29" s="13"/>
      <c r="D29" s="17"/>
      <c r="E29" s="15"/>
      <c r="F29" s="15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</row>
    <row r="30" spans="1:23" x14ac:dyDescent="0.35">
      <c r="A30">
        <v>17</v>
      </c>
      <c r="B30" s="14"/>
      <c r="C30" s="13"/>
      <c r="D30" s="17"/>
      <c r="E30" s="15"/>
      <c r="F30" s="15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</row>
    <row r="31" spans="1:23" x14ac:dyDescent="0.35">
      <c r="A31">
        <v>18</v>
      </c>
      <c r="B31" s="14"/>
      <c r="C31" s="13"/>
      <c r="D31" s="17"/>
      <c r="E31" s="15"/>
      <c r="F31" s="15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</row>
    <row r="32" spans="1:23" x14ac:dyDescent="0.35">
      <c r="A32">
        <v>19</v>
      </c>
      <c r="B32" s="14"/>
      <c r="C32" s="13"/>
      <c r="D32" s="17"/>
      <c r="E32" s="15"/>
      <c r="F32" s="15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</row>
    <row r="33" spans="1:23" x14ac:dyDescent="0.35">
      <c r="A33">
        <v>20</v>
      </c>
      <c r="B33" s="14"/>
      <c r="C33" s="13"/>
      <c r="D33" s="17"/>
      <c r="E33" s="15"/>
      <c r="F33" s="15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</row>
    <row r="34" spans="1:23" x14ac:dyDescent="0.35">
      <c r="A34">
        <v>21</v>
      </c>
      <c r="B34" s="14"/>
      <c r="C34" s="13"/>
      <c r="D34" s="17"/>
      <c r="E34" s="15"/>
      <c r="F34" s="15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</row>
  </sheetData>
  <mergeCells count="1">
    <mergeCell ref="E9:W9"/>
  </mergeCells>
  <pageMargins left="0.7" right="0.7" top="0.75" bottom="0.75" header="0.3" footer="0.3"/>
  <pageSetup orientation="portrait" r:id="rId1"/>
  <headerFooter>
    <oddHeader>&amp;R&amp;"Calibri"&amp;10&amp;K000000Highly Restricted&amp;1#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40AFD7-FD28-4FAD-BA64-90BAF20E1660}">
          <x14:formula1>
            <xm:f>Ingredients!$A$3:$A$1048576</xm:f>
          </x14:formula1>
          <xm:sqref>B14:B34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66AFF-2CC0-4346-BF95-FC99746CD87C}">
  <dimension ref="A1:K46"/>
  <sheetViews>
    <sheetView topLeftCell="A41" zoomScaleNormal="100" workbookViewId="0">
      <selection activeCell="G3" sqref="G3"/>
    </sheetView>
  </sheetViews>
  <sheetFormatPr defaultColWidth="9.1796875" defaultRowHeight="14.5" x14ac:dyDescent="0.35"/>
  <cols>
    <col min="1" max="1" width="17.453125" bestFit="1" customWidth="1"/>
    <col min="2" max="2" width="6.453125" bestFit="1" customWidth="1"/>
    <col min="3" max="3" width="30.54296875" bestFit="1" customWidth="1"/>
    <col min="4" max="4" width="33" customWidth="1"/>
    <col min="5" max="5" width="31.54296875" bestFit="1" customWidth="1"/>
    <col min="6" max="6" width="26.453125" customWidth="1"/>
    <col min="7" max="7" width="27.1796875" customWidth="1"/>
    <col min="8" max="8" width="23.54296875" customWidth="1"/>
    <col min="9" max="9" width="6.81640625" bestFit="1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.81640625" bestFit="1" customWidth="1"/>
    <col min="14" max="14" width="8.1796875" bestFit="1" customWidth="1"/>
    <col min="15" max="15" width="9.453125" bestFit="1" customWidth="1"/>
    <col min="16" max="16" width="8.1796875" bestFit="1" customWidth="1"/>
    <col min="17" max="17" width="7.54296875" bestFit="1" customWidth="1"/>
  </cols>
  <sheetData>
    <row r="1" spans="1:9" x14ac:dyDescent="0.35">
      <c r="A1" s="13" t="s">
        <v>36</v>
      </c>
    </row>
    <row r="2" spans="1:9" x14ac:dyDescent="0.35">
      <c r="A2" t="s">
        <v>94</v>
      </c>
      <c r="B2" s="13" t="s">
        <v>144</v>
      </c>
      <c r="D2" t="str">
        <f>A2&amp;" "&amp; B2</f>
        <v>Formulation OTO</v>
      </c>
      <c r="G2" cm="1">
        <f t="array" aca="1" ref="G2" ca="1">INDIRECT("'"&amp;D2&amp;"'!C7")</f>
        <v>11</v>
      </c>
      <c r="H2" t="s">
        <v>46</v>
      </c>
      <c r="I2" t="s">
        <v>99</v>
      </c>
    </row>
    <row r="3" spans="1:9" x14ac:dyDescent="0.35">
      <c r="A3" t="str">
        <f>'Formulation STOF2'!B6</f>
        <v>Smooth Texture Sugar Free Orange Natural Dyes</v>
      </c>
      <c r="D3" t="s">
        <v>44</v>
      </c>
      <c r="E3" t="s">
        <v>45</v>
      </c>
      <c r="G3" s="27" cm="1">
        <f t="array" aca="1" ref="G3" ca="1">INDIRECT("'"&amp;D2&amp;"'!D6")</f>
        <v>22</v>
      </c>
      <c r="H3" t="s">
        <v>46</v>
      </c>
      <c r="I3" t="s">
        <v>100</v>
      </c>
    </row>
    <row r="5" spans="1:9" ht="15.5" x14ac:dyDescent="0.35">
      <c r="A5" s="146" t="s">
        <v>104</v>
      </c>
      <c r="B5" t="s">
        <v>101</v>
      </c>
      <c r="C5" s="18">
        <f ca="1">(4*F24)+(4*C10)+(9*C31)</f>
        <v>42.690388752000004</v>
      </c>
      <c r="D5" s="50" t="s">
        <v>95</v>
      </c>
      <c r="E5" s="74" t="s">
        <v>96</v>
      </c>
      <c r="F5" s="74" t="s">
        <v>98</v>
      </c>
    </row>
    <row r="6" spans="1:9" ht="15.5" x14ac:dyDescent="0.35">
      <c r="A6" s="146"/>
      <c r="B6" t="s">
        <v>102</v>
      </c>
      <c r="C6" s="18">
        <f ca="1">(4*F24)+(9*C31)+(4*(C10-D10))+(2*D10)</f>
        <v>36.923607952000005</v>
      </c>
      <c r="D6" s="50" t="s">
        <v>95</v>
      </c>
      <c r="E6" s="74" t="s">
        <v>97</v>
      </c>
      <c r="F6" s="74" t="s">
        <v>115</v>
      </c>
    </row>
    <row r="7" spans="1:9" ht="15.5" x14ac:dyDescent="0.35">
      <c r="A7" s="146"/>
      <c r="B7" t="s">
        <v>103</v>
      </c>
      <c r="C7" s="18">
        <f ca="1">(4*F24)+(9*C31)+(4*(C10-D10))+(2*E10)</f>
        <v>36.008355152000007</v>
      </c>
      <c r="D7" s="50" t="s">
        <v>95</v>
      </c>
      <c r="E7" s="74" t="s">
        <v>97</v>
      </c>
      <c r="F7" s="74" t="s">
        <v>116</v>
      </c>
    </row>
    <row r="8" spans="1:9" s="51" customFormat="1" ht="7" customHeight="1" x14ac:dyDescent="0.35">
      <c r="C8" s="52"/>
      <c r="D8" s="53"/>
      <c r="E8" s="53"/>
    </row>
    <row r="9" spans="1:9" ht="30" customHeight="1" x14ac:dyDescent="0.35">
      <c r="A9" s="150" t="s">
        <v>49</v>
      </c>
      <c r="B9" s="18"/>
      <c r="C9" s="48" t="str" cm="1">
        <f t="array" aca="1" ref="C9" ca="1">INDIRECT("'"&amp;D2&amp;"'!K13")</f>
        <v>Total carbohydrate</v>
      </c>
      <c r="D9" s="49" t="str" cm="1">
        <f t="array" aca="1" ref="D9" ca="1">INDIRECT("'"&amp;D2&amp;"'!L13")</f>
        <v>Total dietary fiber</v>
      </c>
      <c r="E9" s="49" t="str" cm="1">
        <f t="array" aca="1" ref="E9" ca="1">INDIRECT("'"&amp;D2&amp;"'!M13")</f>
        <v>Soluble fiber</v>
      </c>
    </row>
    <row r="10" spans="1:9" x14ac:dyDescent="0.35">
      <c r="A10" s="150"/>
      <c r="B10" s="18" t="s">
        <v>50</v>
      </c>
      <c r="C10" s="21" cm="1">
        <f t="array" aca="1" ref="C10" ca="1">INDIRECT("'"&amp;D2&amp;"'!K8")</f>
        <v>10.522113800000001</v>
      </c>
      <c r="D10" s="21" cm="1">
        <f t="array" aca="1" ref="D10" ca="1">INDIRECT("'"&amp;D2&amp;"'!L8")</f>
        <v>2.8833904000000001</v>
      </c>
      <c r="E10" s="21" cm="1">
        <f t="array" aca="1" ref="E10" ca="1">INDIRECT("'"&amp;D2&amp;"'!M8")</f>
        <v>2.4257640000000005</v>
      </c>
    </row>
    <row r="11" spans="1:9" x14ac:dyDescent="0.35">
      <c r="A11" s="150"/>
      <c r="B11" s="18" t="s">
        <v>51</v>
      </c>
      <c r="C11" s="21">
        <v>275</v>
      </c>
      <c r="D11" s="21">
        <v>28</v>
      </c>
      <c r="E11" s="21" t="s">
        <v>52</v>
      </c>
    </row>
    <row r="12" spans="1:9" x14ac:dyDescent="0.35">
      <c r="A12" s="150"/>
      <c r="B12" s="18" t="s">
        <v>53</v>
      </c>
      <c r="C12" s="26">
        <f ca="1">C10/C11</f>
        <v>3.8262232000000007E-2</v>
      </c>
      <c r="D12" s="26">
        <f ca="1">D10/D11</f>
        <v>0.10297822857142858</v>
      </c>
      <c r="E12" s="26" t="s">
        <v>52</v>
      </c>
    </row>
    <row r="13" spans="1:9" ht="127" customHeight="1" x14ac:dyDescent="0.35">
      <c r="A13" s="150"/>
      <c r="B13" s="18"/>
      <c r="C13" s="1" t="str">
        <f>'Nutrition STONF'!C13</f>
        <v>&lt; 0.5g - express as 0
&lt; 1g - express as "contains less than 1g" or "less than 1g"
≥1g - express to nearest 1g increment
Insignificant amount is &lt; 1g</v>
      </c>
      <c r="D13" s="1" t="str">
        <f>'Nutrition STONF'!D13</f>
        <v>&lt; 0.5g - express as 0
&lt; 1g - express as "contains less than 1g" or "less than 1g"
≥1g - express to nearest 1g increment
Insignificant amount is &lt; 1g</v>
      </c>
      <c r="E13" s="1" t="str">
        <f>'Nutrition STONF'!E13</f>
        <v>- Label value  based on calculation of psyllium being 70% soluble fiber (3.4g psyllium * 0.70 = 2.4g)
&lt; 0.5g - express as 0
&lt; 1g - express as "contains less than 1g" or "less than 1g"
≥1g - express to nearest 1g increment
Insignificant amount is &lt; 0.5g</v>
      </c>
    </row>
    <row r="14" spans="1:9" x14ac:dyDescent="0.35">
      <c r="A14" s="150"/>
      <c r="B14" s="18" t="s">
        <v>56</v>
      </c>
      <c r="C14" s="31" t="s">
        <v>57</v>
      </c>
      <c r="D14" s="31" t="s">
        <v>58</v>
      </c>
      <c r="E14" s="31" t="s">
        <v>59</v>
      </c>
    </row>
    <row r="16" spans="1:9" x14ac:dyDescent="0.35">
      <c r="A16" s="150" t="s">
        <v>49</v>
      </c>
      <c r="B16" s="18"/>
      <c r="C16" s="19" t="str" cm="1">
        <f t="array" aca="1" ref="C16" ca="1">INDIRECT("'"&amp;D2&amp;"'!P13")</f>
        <v xml:space="preserve">Iron </v>
      </c>
      <c r="D16" s="19" t="str" cm="1">
        <f t="array" aca="1" ref="D16" ca="1">INDIRECT("'"&amp;D2&amp;"'!Q13")</f>
        <v>Potassium</v>
      </c>
      <c r="E16" s="19" t="str" cm="1">
        <f t="array" aca="1" ref="E16" ca="1">INDIRECT("'"&amp;D2&amp;"'!S13")</f>
        <v>Calcium</v>
      </c>
    </row>
    <row r="17" spans="1:6" x14ac:dyDescent="0.35">
      <c r="A17" s="150"/>
      <c r="B17" s="18" t="s">
        <v>50</v>
      </c>
      <c r="C17" s="22" cm="1">
        <f t="array" aca="1" ref="C17" ca="1">INDIRECT("'"&amp;D2&amp;"'!P8")</f>
        <v>0.27193705000000001</v>
      </c>
      <c r="D17" s="22" cm="1">
        <f t="array" aca="1" ref="D17" ca="1">INDIRECT("'"&amp;D2&amp;"'!Q8")</f>
        <v>29.286527600000003</v>
      </c>
      <c r="E17" s="22" cm="1">
        <f t="array" aca="1" ref="E17" ca="1">INDIRECT("'"&amp;D2&amp;"'!S8")</f>
        <v>6.1177727599999994</v>
      </c>
    </row>
    <row r="18" spans="1:6" x14ac:dyDescent="0.35">
      <c r="A18" s="150"/>
      <c r="B18" s="18" t="s">
        <v>51</v>
      </c>
      <c r="C18" s="22">
        <v>18</v>
      </c>
      <c r="D18" s="22">
        <v>4700</v>
      </c>
      <c r="E18" s="22">
        <v>1300</v>
      </c>
    </row>
    <row r="19" spans="1:6" x14ac:dyDescent="0.35">
      <c r="A19" s="150"/>
      <c r="B19" s="18" t="s">
        <v>53</v>
      </c>
      <c r="C19" s="26">
        <f ca="1">C17/C18</f>
        <v>1.510761388888889E-2</v>
      </c>
      <c r="D19" s="26">
        <f t="shared" ref="D19:E19" ca="1" si="0">D17/D18</f>
        <v>6.2311760851063835E-3</v>
      </c>
      <c r="E19" s="26">
        <f t="shared" ca="1" si="0"/>
        <v>4.7059790461538454E-3</v>
      </c>
    </row>
    <row r="20" spans="1:6" ht="39" x14ac:dyDescent="0.35">
      <c r="A20" s="150"/>
      <c r="B20" s="18"/>
      <c r="C20" s="1" t="str">
        <f>'Nutrition STONF'!C20</f>
        <v>&lt;2% DV: shall not be declared 
&gt; 2% DV: round to nearest 0.1 mg and round to nearest % DV</v>
      </c>
      <c r="D20" s="1" t="str">
        <f>'Nutrition STONF'!D20</f>
        <v>&lt;2% DV: shall not be declared 
&gt; 2% DV: round to nearest 10 mg and round to nearest % DV</v>
      </c>
      <c r="E20" s="1" t="str">
        <f>'Nutrition STONF'!E20</f>
        <v>&lt;2% DV: shall not be declared 
&gt; 2% DV: round to nearest 10 mg and round to nearest % DV</v>
      </c>
    </row>
    <row r="21" spans="1:6" x14ac:dyDescent="0.35">
      <c r="A21" s="150"/>
      <c r="B21" s="18" t="s">
        <v>56</v>
      </c>
      <c r="C21" s="31"/>
      <c r="D21" s="31" t="s">
        <v>60</v>
      </c>
      <c r="E21" s="31" t="s">
        <v>131</v>
      </c>
    </row>
    <row r="23" spans="1:6" x14ac:dyDescent="0.35">
      <c r="A23" s="150" t="s">
        <v>49</v>
      </c>
      <c r="B23" s="18"/>
      <c r="C23" s="19" t="str" cm="1">
        <f t="array" aca="1" ref="C23" ca="1">INDIRECT("'"&amp;D2&amp;"'!T13")</f>
        <v>Vitamin A</v>
      </c>
      <c r="D23" s="19" t="str" cm="1">
        <f t="array" aca="1" ref="D23" ca="1">INDIRECT("'"&amp;D2&amp;"'!U13")</f>
        <v>Vitamin C</v>
      </c>
      <c r="E23" s="19" t="str" cm="1">
        <f t="array" aca="1" ref="E23" ca="1">INDIRECT("'"&amp;D2&amp;"'!V13")</f>
        <v>Vitamin D</v>
      </c>
      <c r="F23" s="19" t="str" cm="1">
        <f t="array" aca="1" ref="F23" ca="1">INDIRECT("'"&amp;D2&amp;"'!W13")</f>
        <v>Protein</v>
      </c>
    </row>
    <row r="24" spans="1:6" x14ac:dyDescent="0.35">
      <c r="A24" s="150"/>
      <c r="B24" s="18" t="s">
        <v>50</v>
      </c>
      <c r="C24" s="23" cm="1">
        <f t="array" aca="1" ref="C24" ca="1">INDIRECT("'"&amp;D2&amp;"'!T8")</f>
        <v>0</v>
      </c>
      <c r="D24" s="24" cm="1">
        <f t="array" aca="1" ref="D24" ca="1">INDIRECT("'"&amp;D2&amp;"'!U8")</f>
        <v>0</v>
      </c>
      <c r="E24" s="24" cm="1">
        <f t="array" aca="1" ref="E24" ca="1">INDIRECT("'"&amp;D2&amp;"'!V8")</f>
        <v>0</v>
      </c>
      <c r="F24" s="21" cm="1">
        <f t="array" aca="1" ref="F24" ca="1">INDIRECT("'"&amp;D2&amp;"'!W8")</f>
        <v>7.229120800000001E-2</v>
      </c>
    </row>
    <row r="25" spans="1:6" x14ac:dyDescent="0.35">
      <c r="A25" s="150"/>
      <c r="B25" s="18" t="s">
        <v>51</v>
      </c>
      <c r="C25" s="26" t="s">
        <v>52</v>
      </c>
      <c r="D25" s="26" t="s">
        <v>52</v>
      </c>
      <c r="E25" s="26">
        <v>0.2</v>
      </c>
      <c r="F25" s="26" t="s">
        <v>52</v>
      </c>
    </row>
    <row r="26" spans="1:6" x14ac:dyDescent="0.35">
      <c r="A26" s="150"/>
      <c r="B26" s="18" t="s">
        <v>53</v>
      </c>
      <c r="C26" s="26" t="s">
        <v>52</v>
      </c>
      <c r="D26" s="26" t="s">
        <v>52</v>
      </c>
      <c r="E26" s="26">
        <f t="shared" ref="E26" ca="1" si="1">E24/E25</f>
        <v>0</v>
      </c>
      <c r="F26" s="26" t="s">
        <v>52</v>
      </c>
    </row>
    <row r="27" spans="1:6" ht="78" x14ac:dyDescent="0.35">
      <c r="A27" s="150"/>
      <c r="B27" s="18"/>
      <c r="C27" s="1" t="str">
        <f>'Nutrition STONF'!C27</f>
        <v>&lt;2% DV: shall not be declared 
&gt; 2% DV: round to nearest 10 mcg RAE and round to nearest % DV</v>
      </c>
      <c r="D27" s="1" t="str">
        <f>'Nutrition STONF'!D27</f>
        <v>&lt;2% DV: shall not be declared 
&gt; 2% DV: round to nearest 1 mg and round to nearest % DV</v>
      </c>
      <c r="E27" s="1" t="str">
        <f>'Nutrition STONF'!E27</f>
        <v>&lt;2% DV: shall not be declared 
&gt; 2% DV: round to nearest 0.1 mcg and round to nearest % DV</v>
      </c>
      <c r="F27" s="1" t="str">
        <f>'Nutrition STONF'!F27</f>
        <v>&lt; 0.5g - express as 0
&lt; 1g - express as "contains less than 1g" or "less than 1g"
≥1g - express to nearest 1g increment
Insignificant amount is &lt; 0.5g</v>
      </c>
    </row>
    <row r="28" spans="1:6" x14ac:dyDescent="0.35">
      <c r="A28" s="150"/>
      <c r="B28" s="18" t="s">
        <v>56</v>
      </c>
      <c r="C28" s="31" t="s">
        <v>61</v>
      </c>
      <c r="D28" s="31" t="s">
        <v>62</v>
      </c>
      <c r="E28" s="31">
        <v>0</v>
      </c>
      <c r="F28" s="31" t="s">
        <v>63</v>
      </c>
    </row>
    <row r="30" spans="1:6" x14ac:dyDescent="0.35">
      <c r="A30" s="149" t="s">
        <v>64</v>
      </c>
      <c r="B30" s="18"/>
      <c r="C30" s="19" t="s">
        <v>6</v>
      </c>
      <c r="D30" s="19" t="s">
        <v>7</v>
      </c>
      <c r="E30" s="19" t="s">
        <v>8</v>
      </c>
      <c r="F30" s="19" t="s">
        <v>9</v>
      </c>
    </row>
    <row r="31" spans="1:6" x14ac:dyDescent="0.35">
      <c r="A31" s="149"/>
      <c r="B31" s="18" t="s">
        <v>50</v>
      </c>
      <c r="C31" s="21" cm="1">
        <f t="array" aca="1" ref="C31" ca="1">INDIRECT("'"&amp;D2&amp;"'!G8")</f>
        <v>3.4752080000000005E-2</v>
      </c>
      <c r="D31" s="21" cm="1">
        <f t="array" aca="1" ref="D31" ca="1">INDIRECT("'"&amp;D2&amp;"'!H8")</f>
        <v>5.7117280000000001E-3</v>
      </c>
      <c r="E31" s="21" cm="1">
        <f t="array" aca="1" ref="E31" ca="1">INDIRECT("'"&amp;D2&amp;"'!I8")</f>
        <v>0</v>
      </c>
      <c r="F31" s="21" cm="1">
        <f t="array" aca="1" ref="F31" ca="1">INDIRECT("'"&amp;D2&amp;"'!J8")</f>
        <v>0</v>
      </c>
    </row>
    <row r="32" spans="1:6" x14ac:dyDescent="0.35">
      <c r="A32" s="149"/>
      <c r="B32" s="18" t="s">
        <v>51</v>
      </c>
      <c r="C32" s="21" t="s">
        <v>52</v>
      </c>
      <c r="D32" s="21" t="s">
        <v>52</v>
      </c>
      <c r="E32" s="21" t="s">
        <v>52</v>
      </c>
      <c r="F32" s="21" t="s">
        <v>52</v>
      </c>
    </row>
    <row r="33" spans="1:11" x14ac:dyDescent="0.35">
      <c r="A33" s="149"/>
      <c r="B33" s="18" t="s">
        <v>53</v>
      </c>
      <c r="C33" s="26" t="s">
        <v>52</v>
      </c>
      <c r="D33" s="26" t="s">
        <v>52</v>
      </c>
      <c r="E33" s="26" t="s">
        <v>52</v>
      </c>
      <c r="F33" s="26" t="s">
        <v>52</v>
      </c>
    </row>
    <row r="34" spans="1:11" ht="73.400000000000006" customHeight="1" x14ac:dyDescent="0.35">
      <c r="A34" s="149"/>
      <c r="B34" s="18"/>
      <c r="C34" s="1" t="str">
        <f>'Nutrition STONF'!C34</f>
        <v xml:space="preserve">&lt; 0.5g - express as 0
&lt; 5 g - nearest 0.5 g increment
&gt; 5 g: nearest 1 g increment
</v>
      </c>
      <c r="D34" s="1" t="str">
        <f>'Nutrition STONF'!D34</f>
        <v xml:space="preserve">&lt; 0.5g - express as 0
&lt; 5 g - nearest 0.5 g increment
&gt; 5 g: nearest 1 g increment
</v>
      </c>
      <c r="E34" s="1" t="str">
        <f>'Nutrition STONF'!E34</f>
        <v xml:space="preserve">&lt; 0.5g - express as 0
&lt; 5 g - nearest 0.5 g increment
&gt; 5 g: nearest 1 g increment
</v>
      </c>
      <c r="F34" s="1" t="str">
        <f>'Nutrition STONF'!F34</f>
        <v>&lt; 2mg: express as 0
2-5 mg: "less than 5 mg"
&gt; 5 mg: 5 mg increment</v>
      </c>
    </row>
    <row r="35" spans="1:11" x14ac:dyDescent="0.35">
      <c r="A35" s="149"/>
      <c r="B35" s="18" t="s">
        <v>56</v>
      </c>
      <c r="C35" s="31"/>
      <c r="D35" s="31"/>
      <c r="E35" s="31"/>
      <c r="F35" s="31"/>
    </row>
    <row r="37" spans="1:11" ht="30" customHeight="1" x14ac:dyDescent="0.35">
      <c r="A37" s="149" t="s">
        <v>64</v>
      </c>
      <c r="B37" s="18"/>
      <c r="C37" s="20" t="str" cm="1">
        <f t="array" aca="1" ref="C37" ca="1">INDIRECT("'"&amp;D2&amp;"'!E13")</f>
        <v>Calories (US Rules)</v>
      </c>
      <c r="D37" s="19" t="s">
        <v>5</v>
      </c>
      <c r="E37" s="19" t="str" cm="1">
        <f t="array" aca="1" ref="E37" ca="1">INDIRECT("'"&amp;D2&amp;"'!N13")</f>
        <v xml:space="preserve">Sugar </v>
      </c>
      <c r="F37" s="19" t="str" cm="1">
        <f t="array" aca="1" ref="F37" ca="1">INDIRECT("'"&amp;D2&amp;"'!O13")</f>
        <v>Added Sugars</v>
      </c>
      <c r="G37" s="19" t="str" cm="1">
        <f t="array" aca="1" ref="G37" ca="1">INDIRECT("'"&amp;D2&amp;"'!R13")</f>
        <v>Sodium</v>
      </c>
    </row>
    <row r="38" spans="1:11" x14ac:dyDescent="0.35">
      <c r="A38" s="149"/>
      <c r="B38" s="18" t="s">
        <v>50</v>
      </c>
      <c r="C38" s="20">
        <f ca="1">C7</f>
        <v>36.008355152000007</v>
      </c>
      <c r="D38" s="20" cm="1">
        <f t="array" aca="1" ref="D38" ca="1">INDIRECT("'"&amp;D2&amp;"'!F8")</f>
        <v>0.14871137600000001</v>
      </c>
      <c r="E38" s="21" cm="1">
        <f t="array" aca="1" ref="E38" ca="1">INDIRECT("'"&amp;D2&amp;"'!N8")</f>
        <v>7.1533902000000005</v>
      </c>
      <c r="F38" s="21" cm="1">
        <f t="array" aca="1" ref="F38" ca="1">INDIRECT("'"&amp;D2&amp;"'!O8")</f>
        <v>7.146165400000001</v>
      </c>
      <c r="G38" s="22" cm="1">
        <f t="array" aca="1" ref="G38" ca="1">INDIRECT("'"&amp;D2&amp;"'!R8")</f>
        <v>2.7685613999999994</v>
      </c>
    </row>
    <row r="39" spans="1:11" x14ac:dyDescent="0.35">
      <c r="A39" s="149"/>
      <c r="B39" s="18"/>
      <c r="C39" s="20" t="s">
        <v>52</v>
      </c>
      <c r="D39" s="20" t="s">
        <v>52</v>
      </c>
      <c r="E39" s="21" t="s">
        <v>52</v>
      </c>
      <c r="F39" s="21">
        <v>50</v>
      </c>
      <c r="G39" s="22">
        <v>2300</v>
      </c>
    </row>
    <row r="40" spans="1:11" x14ac:dyDescent="0.35">
      <c r="A40" s="149"/>
      <c r="B40" s="18" t="s">
        <v>53</v>
      </c>
      <c r="C40" s="25" t="s">
        <v>52</v>
      </c>
      <c r="D40" s="25" t="s">
        <v>52</v>
      </c>
      <c r="E40" s="26" t="s">
        <v>52</v>
      </c>
      <c r="F40" s="26">
        <f t="shared" ref="F40:G40" ca="1" si="2">F38/F39</f>
        <v>0.14292330800000003</v>
      </c>
      <c r="G40" s="26">
        <f t="shared" ca="1" si="2"/>
        <v>1.2037223478260867E-3</v>
      </c>
    </row>
    <row r="41" spans="1:11" ht="193.4" customHeight="1" x14ac:dyDescent="0.35">
      <c r="A41" s="149"/>
      <c r="B41" s="18"/>
      <c r="C41" s="1" t="str">
        <f>'Nutrition STONF'!C41</f>
        <v>&lt; 5 cal - express as 0
≤ 50 cal - express to nearest 5 cal increment
&gt; 50 cal - express to nearest 10 cal increment
Insignificant amount is &lt; 5 cal</v>
      </c>
      <c r="D41" s="1" t="str">
        <f>'Nutrition STONF'!D41</f>
        <v>Not required to be declared</v>
      </c>
      <c r="E41" s="1" t="str">
        <f>'Nutrition STONF'!E41</f>
        <v>&lt; 0.5g - express as 0
&lt; 1g - express as "contains less than 1g" or "less than 1g"
≥1g - express to nearest 1g increment
Insignificant amount is &lt; 0.5g</v>
      </c>
      <c r="F41" s="1" t="str">
        <f>'Nutrition STONF'!F41</f>
        <v>&lt; 0.5g - express as 0
&lt; 1g - express as "contains less than 1g" or "less than 1g"
≥1g - express to nearest 1g increment
Insignificant amount is &lt; 0.5g</v>
      </c>
      <c r="G41" s="1" t="str">
        <f>'Nutrition STONF'!G41</f>
        <v>&lt; 5mg - express as 0
5-140mg - express to nearest 5mg increment
&gt; 140mg - express to nearest 10mg increment
Insignificant amount is &lt; 5mg</v>
      </c>
      <c r="K41" s="32"/>
    </row>
    <row r="42" spans="1:11" x14ac:dyDescent="0.35">
      <c r="A42" s="149"/>
      <c r="B42" s="18" t="s">
        <v>56</v>
      </c>
      <c r="C42" s="31" t="s">
        <v>137</v>
      </c>
      <c r="D42" s="31">
        <v>0</v>
      </c>
      <c r="E42" s="30">
        <v>0</v>
      </c>
      <c r="F42" s="31">
        <v>0</v>
      </c>
      <c r="G42" s="31" t="s">
        <v>67</v>
      </c>
      <c r="K42" s="33"/>
    </row>
    <row r="43" spans="1:11" x14ac:dyDescent="0.35">
      <c r="A43" s="29"/>
      <c r="D43" s="28"/>
      <c r="K43" s="34"/>
    </row>
    <row r="44" spans="1:11" x14ac:dyDescent="0.35">
      <c r="D44" s="28"/>
      <c r="K44" s="34"/>
    </row>
    <row r="45" spans="1:11" x14ac:dyDescent="0.35">
      <c r="D45" s="28"/>
    </row>
    <row r="46" spans="1:11" x14ac:dyDescent="0.35">
      <c r="D46" s="28"/>
    </row>
  </sheetData>
  <mergeCells count="6">
    <mergeCell ref="A37:A42"/>
    <mergeCell ref="A5:A7"/>
    <mergeCell ref="A9:A14"/>
    <mergeCell ref="A16:A21"/>
    <mergeCell ref="A23:A28"/>
    <mergeCell ref="A30:A35"/>
  </mergeCells>
  <pageMargins left="0.7" right="0.7" top="0.75" bottom="0.75" header="0.3" footer="0.3"/>
  <pageSetup orientation="portrait" r:id="rId1"/>
  <headerFooter>
    <oddHeader>&amp;R&amp;"Calibri"&amp;10&amp;K000000Highly Restricted&amp;1#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017C2-81B8-4447-B782-5C63762657DF}">
  <dimension ref="A1:W34"/>
  <sheetViews>
    <sheetView zoomScale="80" zoomScaleNormal="100" workbookViewId="0">
      <selection activeCell="D22" sqref="D22"/>
    </sheetView>
  </sheetViews>
  <sheetFormatPr defaultRowHeight="14.5" x14ac:dyDescent="0.35"/>
  <cols>
    <col min="1" max="1" width="3" bestFit="1" customWidth="1"/>
    <col min="2" max="2" width="20.1796875" bestFit="1" customWidth="1"/>
    <col min="3" max="3" width="13.1796875" bestFit="1" customWidth="1"/>
    <col min="4" max="4" width="16.453125" bestFit="1" customWidth="1"/>
    <col min="5" max="6" width="12.6328125" customWidth="1"/>
    <col min="7" max="23" width="12.6328125" style="66" customWidth="1"/>
  </cols>
  <sheetData>
    <row r="1" spans="1:23" s="44" customFormat="1" x14ac:dyDescent="0.35">
      <c r="B1" s="45" t="s">
        <v>88</v>
      </c>
      <c r="C1" s="46">
        <v>46078</v>
      </c>
      <c r="D1" s="47" t="s">
        <v>89</v>
      </c>
      <c r="E1" s="45" t="s">
        <v>90</v>
      </c>
      <c r="F1" s="47" t="s">
        <v>91</v>
      </c>
      <c r="G1" s="64" t="s">
        <v>92</v>
      </c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</row>
    <row r="2" spans="1:23" x14ac:dyDescent="0.35">
      <c r="B2" t="s">
        <v>35</v>
      </c>
    </row>
    <row r="3" spans="1:23" x14ac:dyDescent="0.35">
      <c r="B3" s="13" t="s">
        <v>36</v>
      </c>
    </row>
    <row r="4" spans="1:23" x14ac:dyDescent="0.35">
      <c r="B4" t="s">
        <v>37</v>
      </c>
      <c r="D4" s="37"/>
    </row>
    <row r="5" spans="1:23" x14ac:dyDescent="0.35">
      <c r="B5" t="s">
        <v>38</v>
      </c>
      <c r="C5" t="s">
        <v>3</v>
      </c>
      <c r="D5" s="13" t="s">
        <v>145</v>
      </c>
      <c r="E5" s="37"/>
    </row>
    <row r="6" spans="1:23" ht="15" thickBot="1" x14ac:dyDescent="0.4">
      <c r="B6" s="13" t="s">
        <v>93</v>
      </c>
      <c r="C6" s="13">
        <v>7</v>
      </c>
      <c r="D6">
        <f>C6*2</f>
        <v>14</v>
      </c>
    </row>
    <row r="7" spans="1:23" ht="29.5" thickBot="1" x14ac:dyDescent="0.4">
      <c r="B7" s="62" t="s">
        <v>114</v>
      </c>
      <c r="C7" s="63">
        <f>C6</f>
        <v>7</v>
      </c>
      <c r="E7" t="s">
        <v>113</v>
      </c>
      <c r="F7" s="9" t="s">
        <v>5</v>
      </c>
      <c r="G7" s="71" t="s">
        <v>6</v>
      </c>
      <c r="H7" s="71" t="s">
        <v>7</v>
      </c>
      <c r="I7" s="71" t="s">
        <v>8</v>
      </c>
      <c r="J7" s="71" t="s">
        <v>9</v>
      </c>
      <c r="K7" s="71" t="s">
        <v>10</v>
      </c>
      <c r="L7" s="71" t="s">
        <v>11</v>
      </c>
      <c r="M7" s="71" t="s">
        <v>12</v>
      </c>
      <c r="N7" s="71" t="s">
        <v>13</v>
      </c>
      <c r="O7" s="71" t="s">
        <v>14</v>
      </c>
      <c r="P7" s="71" t="s">
        <v>15</v>
      </c>
      <c r="Q7" s="71" t="s">
        <v>16</v>
      </c>
      <c r="R7" s="71" t="s">
        <v>17</v>
      </c>
      <c r="S7" s="71" t="s">
        <v>18</v>
      </c>
      <c r="T7" s="71" t="s">
        <v>19</v>
      </c>
      <c r="U7" s="71" t="s">
        <v>20</v>
      </c>
      <c r="V7" s="71" t="s">
        <v>21</v>
      </c>
      <c r="W7" s="71" t="s">
        <v>22</v>
      </c>
    </row>
    <row r="8" spans="1:23" ht="27" customHeight="1" x14ac:dyDescent="0.35">
      <c r="B8" s="10" t="s">
        <v>39</v>
      </c>
      <c r="C8" s="11">
        <f>SUM(C14:C34)</f>
        <v>1</v>
      </c>
      <c r="D8" s="16">
        <f>SUM(D14:D21)</f>
        <v>7</v>
      </c>
      <c r="E8" s="76">
        <f>SUM(E14:E34)</f>
        <v>26.188589</v>
      </c>
      <c r="F8" s="76">
        <f>SUM(F14:F34)</f>
        <v>0.14869841</v>
      </c>
      <c r="G8" s="67">
        <f t="shared" ref="G8:W8" si="0">SUM(G14:G34)</f>
        <v>3.4749050000000004E-2</v>
      </c>
      <c r="H8" s="67">
        <f t="shared" si="0"/>
        <v>5.7112300000000003E-3</v>
      </c>
      <c r="I8" s="67">
        <f t="shared" si="0"/>
        <v>0</v>
      </c>
      <c r="J8" s="68">
        <f>SUM(J14:J34)</f>
        <v>0</v>
      </c>
      <c r="K8" s="67">
        <f t="shared" si="0"/>
        <v>6.5456159999999999</v>
      </c>
      <c r="L8" s="67">
        <f t="shared" si="0"/>
        <v>2.8831389999999999</v>
      </c>
      <c r="M8" s="67">
        <f t="shared" si="0"/>
        <v>2.4255525000000002</v>
      </c>
      <c r="N8" s="67">
        <f t="shared" si="0"/>
        <v>3.5558214999999995</v>
      </c>
      <c r="O8" s="67">
        <f>SUM(O14:O34)</f>
        <v>3.5523809999999996</v>
      </c>
      <c r="P8" s="73">
        <f t="shared" si="0"/>
        <v>0.27013875000000004</v>
      </c>
      <c r="Q8" s="73">
        <f t="shared" si="0"/>
        <v>29.212225000000004</v>
      </c>
      <c r="R8" s="73">
        <f t="shared" si="0"/>
        <v>2.4559867499999997</v>
      </c>
      <c r="S8" s="73">
        <f t="shared" si="0"/>
        <v>6.0623188499999996</v>
      </c>
      <c r="T8" s="69">
        <f t="shared" si="0"/>
        <v>0</v>
      </c>
      <c r="U8" s="68">
        <f t="shared" si="0"/>
        <v>0</v>
      </c>
      <c r="V8" s="70">
        <f t="shared" si="0"/>
        <v>0</v>
      </c>
      <c r="W8" s="67">
        <f t="shared" si="0"/>
        <v>7.228490500000001E-2</v>
      </c>
    </row>
    <row r="9" spans="1:23" x14ac:dyDescent="0.35">
      <c r="E9" s="148" t="s">
        <v>40</v>
      </c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</row>
    <row r="10" spans="1:23" x14ac:dyDescent="0.35">
      <c r="B10" t="s">
        <v>112</v>
      </c>
      <c r="C10" s="37">
        <v>2</v>
      </c>
      <c r="D10" s="61">
        <f>C6*2</f>
        <v>14</v>
      </c>
      <c r="E10" s="76">
        <f>E8*$C$10</f>
        <v>52.377178000000001</v>
      </c>
      <c r="F10" s="76">
        <f t="shared" ref="F10:W10" si="1">F8*$C$10</f>
        <v>0.29739682000000001</v>
      </c>
      <c r="G10" s="67">
        <f t="shared" si="1"/>
        <v>6.9498100000000007E-2</v>
      </c>
      <c r="H10" s="67">
        <f t="shared" si="1"/>
        <v>1.1422460000000001E-2</v>
      </c>
      <c r="I10" s="67">
        <f t="shared" si="1"/>
        <v>0</v>
      </c>
      <c r="J10" s="68">
        <f t="shared" si="1"/>
        <v>0</v>
      </c>
      <c r="K10" s="67">
        <f t="shared" si="1"/>
        <v>13.091232</v>
      </c>
      <c r="L10" s="67">
        <f t="shared" si="1"/>
        <v>5.7662779999999998</v>
      </c>
      <c r="M10" s="67">
        <f t="shared" si="1"/>
        <v>4.8511050000000004</v>
      </c>
      <c r="N10" s="67">
        <f t="shared" si="1"/>
        <v>7.111642999999999</v>
      </c>
      <c r="O10" s="67">
        <f t="shared" si="1"/>
        <v>7.1047619999999991</v>
      </c>
      <c r="P10" s="73">
        <f t="shared" si="1"/>
        <v>0.54027750000000008</v>
      </c>
      <c r="Q10" s="73">
        <f t="shared" si="1"/>
        <v>58.424450000000007</v>
      </c>
      <c r="R10" s="73">
        <f t="shared" si="1"/>
        <v>4.9119734999999993</v>
      </c>
      <c r="S10" s="73">
        <f t="shared" si="1"/>
        <v>12.124637699999999</v>
      </c>
      <c r="T10" s="69">
        <f t="shared" si="1"/>
        <v>0</v>
      </c>
      <c r="U10" s="68">
        <f t="shared" si="1"/>
        <v>0</v>
      </c>
      <c r="V10" s="70">
        <f t="shared" si="1"/>
        <v>0</v>
      </c>
      <c r="W10" s="67">
        <f t="shared" si="1"/>
        <v>0.14456981000000002</v>
      </c>
    </row>
    <row r="11" spans="1:23" x14ac:dyDescent="0.35">
      <c r="D11" s="38"/>
    </row>
    <row r="12" spans="1:23" x14ac:dyDescent="0.35">
      <c r="C12" s="100">
        <f>SUM(C14:C34)</f>
        <v>1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</row>
    <row r="13" spans="1:23" s="9" customFormat="1" ht="29" x14ac:dyDescent="0.35">
      <c r="B13" s="9" t="s">
        <v>0</v>
      </c>
      <c r="C13" s="9" t="s">
        <v>41</v>
      </c>
      <c r="D13" s="9" t="s">
        <v>42</v>
      </c>
      <c r="E13" s="9" t="s">
        <v>43</v>
      </c>
      <c r="F13" s="9" t="s">
        <v>5</v>
      </c>
      <c r="G13" s="71" t="s">
        <v>6</v>
      </c>
      <c r="H13" s="71" t="s">
        <v>7</v>
      </c>
      <c r="I13" s="71" t="s">
        <v>8</v>
      </c>
      <c r="J13" s="71" t="s">
        <v>9</v>
      </c>
      <c r="K13" s="71" t="s">
        <v>10</v>
      </c>
      <c r="L13" s="71" t="s">
        <v>11</v>
      </c>
      <c r="M13" s="71" t="s">
        <v>12</v>
      </c>
      <c r="N13" s="71" t="s">
        <v>13</v>
      </c>
      <c r="O13" s="71" t="s">
        <v>14</v>
      </c>
      <c r="P13" s="71" t="s">
        <v>15</v>
      </c>
      <c r="Q13" s="71" t="s">
        <v>16</v>
      </c>
      <c r="R13" s="71" t="s">
        <v>17</v>
      </c>
      <c r="S13" s="71" t="s">
        <v>18</v>
      </c>
      <c r="T13" s="71" t="s">
        <v>19</v>
      </c>
      <c r="U13" s="71" t="s">
        <v>20</v>
      </c>
      <c r="V13" s="71" t="s">
        <v>21</v>
      </c>
      <c r="W13" s="71" t="s">
        <v>22</v>
      </c>
    </row>
    <row r="14" spans="1:23" x14ac:dyDescent="0.35">
      <c r="A14">
        <v>1</v>
      </c>
      <c r="B14" s="14" t="s">
        <v>23</v>
      </c>
      <c r="C14" s="12">
        <v>0.49149999999999999</v>
      </c>
      <c r="D14" s="17">
        <f>C14*$C$7</f>
        <v>3.4405000000000001</v>
      </c>
      <c r="E14" s="76">
        <f>VLOOKUP($B14,Ingredients!$A:$W,5,FALSE)*$D14/100</f>
        <v>12.413323999999999</v>
      </c>
      <c r="F14" s="76">
        <f>VLOOKUP($B14,Ingredients!$A:$W,6,FALSE)*$D14/100</f>
        <v>0.14869841</v>
      </c>
      <c r="G14" s="67">
        <f>VLOOKUP($B14,Ingredients!$A:$W,7,FALSE)*$D14/100</f>
        <v>3.4749050000000004E-2</v>
      </c>
      <c r="H14" s="67">
        <f>VLOOKUP($B14,Ingredients!$A:$W,8,FALSE)*$D14/100</f>
        <v>5.7112300000000003E-3</v>
      </c>
      <c r="I14" s="67">
        <f>VLOOKUP($B14,Ingredients!$A:$W,9,FALSE)*$D14/100</f>
        <v>0</v>
      </c>
      <c r="J14" s="68">
        <f>VLOOKUP($B14,Ingredients!$A:$W,10,FALSE)*$D14/100</f>
        <v>0</v>
      </c>
      <c r="K14" s="67">
        <f>VLOOKUP($B14,Ingredients!$A:$W,11,FALSE)*$D14/100</f>
        <v>2.9932350000000003</v>
      </c>
      <c r="L14" s="67">
        <f>VLOOKUP($B14,Ingredients!$A:$W,12,FALSE)*$D14/100</f>
        <v>2.8831389999999999</v>
      </c>
      <c r="M14" s="67">
        <f>VLOOKUP($B14,Ingredients!$A:$W,13,FALSE)*$D14/100</f>
        <v>2.4255525000000002</v>
      </c>
      <c r="N14" s="67">
        <f>VLOOKUP($B14,Ingredients!$A:$W,14,FALSE)*$D14/100</f>
        <v>3.4405000000000004E-3</v>
      </c>
      <c r="O14" s="67">
        <f>VLOOKUP($B14,Ingredients!$A:$W,15,FALSE)*$D14/100</f>
        <v>0</v>
      </c>
      <c r="P14" s="73">
        <f>VLOOKUP($B14,Ingredients!$A:$W,16,FALSE)*$D14/100</f>
        <v>0.26835900000000001</v>
      </c>
      <c r="Q14" s="73">
        <f>VLOOKUP($B14,Ingredients!$A:$W,17,FALSE)*$D14/100</f>
        <v>29.141035000000002</v>
      </c>
      <c r="R14" s="73">
        <f>VLOOKUP($B14,Ingredients!$A:$W,18,FALSE)*$D14/100</f>
        <v>2.4203917499999998</v>
      </c>
      <c r="S14" s="73">
        <f>VLOOKUP($B14,Ingredients!$A:$W,19,FALSE)*$D14/100</f>
        <v>6.0267238499999998</v>
      </c>
      <c r="T14" s="69">
        <f>VLOOKUP($B14,Ingredients!$A:$W,20,FALSE)*$D14/100</f>
        <v>0</v>
      </c>
      <c r="U14" s="68">
        <f>VLOOKUP($B14,Ingredients!$A:$W,21,FALSE)*$D14/100</f>
        <v>0</v>
      </c>
      <c r="V14" s="70">
        <f>VLOOKUP($B14,Ingredients!$A:$W,22,FALSE)*$D14/100</f>
        <v>0</v>
      </c>
      <c r="W14" s="67">
        <f>VLOOKUP($B14,Ingredients!$A:$W,23,FALSE)*$D14/100</f>
        <v>7.228490500000001E-2</v>
      </c>
    </row>
    <row r="15" spans="1:23" x14ac:dyDescent="0.35">
      <c r="A15">
        <v>2</v>
      </c>
      <c r="B15" s="14" t="s">
        <v>240</v>
      </c>
      <c r="C15" s="12">
        <v>0.50849999999999995</v>
      </c>
      <c r="D15" s="17">
        <f>C15*$C$7</f>
        <v>3.5594999999999999</v>
      </c>
      <c r="E15" s="76">
        <f>VLOOKUP($B15,Ingredients!$A:$W,5,FALSE)*$D15/100</f>
        <v>13.775264999999999</v>
      </c>
      <c r="F15" s="76">
        <f>VLOOKUP($B15,Ingredients!$A:$W,6,FALSE)*$D15/100</f>
        <v>0</v>
      </c>
      <c r="G15" s="67">
        <f>VLOOKUP($B15,Ingredients!$A:$W,7,FALSE)*$D15/100</f>
        <v>0</v>
      </c>
      <c r="H15" s="67">
        <f>VLOOKUP($B15,Ingredients!$A:$W,8,FALSE)*$D15/100</f>
        <v>0</v>
      </c>
      <c r="I15" s="67">
        <f>VLOOKUP($B15,Ingredients!$A:$W,9,FALSE)*$D15/100</f>
        <v>0</v>
      </c>
      <c r="J15" s="68">
        <f>VLOOKUP($B15,Ingredients!$A:$W,10,FALSE)*$D15/100</f>
        <v>0</v>
      </c>
      <c r="K15" s="67">
        <f>VLOOKUP($B15,Ingredients!$A:$W,11,FALSE)*$D15/100</f>
        <v>3.5523809999999996</v>
      </c>
      <c r="L15" s="67">
        <f>VLOOKUP($B15,Ingredients!$A:$W,12,FALSE)*$D15/100</f>
        <v>0</v>
      </c>
      <c r="M15" s="67">
        <f>VLOOKUP($B15,Ingredients!$A:$W,13,FALSE)*$D15/100</f>
        <v>0</v>
      </c>
      <c r="N15" s="67">
        <f>VLOOKUP($B15,Ingredients!$A:$W,14,FALSE)*$D15/100</f>
        <v>3.5523809999999996</v>
      </c>
      <c r="O15" s="67">
        <f>VLOOKUP($B15,Ingredients!$A:$W,15,FALSE)*$D15/100</f>
        <v>3.5523809999999996</v>
      </c>
      <c r="P15" s="73">
        <f>VLOOKUP($B15,Ingredients!$A:$W,16,FALSE)*$D15/100</f>
        <v>1.7797499999999999E-3</v>
      </c>
      <c r="Q15" s="73">
        <f>VLOOKUP($B15,Ingredients!$A:$W,17,FALSE)*$D15/100</f>
        <v>7.1190000000000003E-2</v>
      </c>
      <c r="R15" s="73">
        <f>VLOOKUP($B15,Ingredients!$A:$W,18,FALSE)*$D15/100</f>
        <v>3.5595000000000002E-2</v>
      </c>
      <c r="S15" s="73">
        <f>VLOOKUP($B15,Ingredients!$A:$W,19,FALSE)*$D15/100</f>
        <v>3.5595000000000002E-2</v>
      </c>
      <c r="T15" s="69">
        <f>VLOOKUP($B15,Ingredients!$A:$W,20,FALSE)*$D15/100</f>
        <v>0</v>
      </c>
      <c r="U15" s="68">
        <f>VLOOKUP($B15,Ingredients!$A:$W,21,FALSE)*$D15/100</f>
        <v>0</v>
      </c>
      <c r="V15" s="70">
        <f>VLOOKUP($B15,Ingredients!$A:$W,22,FALSE)*$D15/100</f>
        <v>0</v>
      </c>
      <c r="W15" s="67">
        <f>VLOOKUP($B15,Ingredients!$A:$W,23,FALSE)*$D15/100</f>
        <v>0</v>
      </c>
    </row>
    <row r="16" spans="1:23" x14ac:dyDescent="0.35">
      <c r="A16">
        <v>3</v>
      </c>
      <c r="B16" s="14"/>
      <c r="C16" s="12"/>
      <c r="D16" s="17"/>
      <c r="E16" s="76"/>
      <c r="F16" s="76"/>
      <c r="G16" s="67"/>
      <c r="H16" s="67"/>
      <c r="I16" s="67"/>
      <c r="J16" s="68"/>
      <c r="K16" s="67"/>
      <c r="L16" s="67"/>
      <c r="M16" s="67"/>
      <c r="N16" s="67"/>
      <c r="O16" s="67"/>
      <c r="P16" s="73"/>
      <c r="Q16" s="73"/>
      <c r="R16" s="73"/>
      <c r="S16" s="73"/>
      <c r="T16" s="69"/>
      <c r="U16" s="68"/>
      <c r="V16" s="70"/>
      <c r="W16" s="67"/>
    </row>
    <row r="17" spans="1:23" x14ac:dyDescent="0.35">
      <c r="A17">
        <v>4</v>
      </c>
      <c r="B17" s="14"/>
      <c r="C17" s="35"/>
      <c r="D17" s="17"/>
      <c r="E17" s="76"/>
      <c r="F17" s="76"/>
      <c r="G17" s="67"/>
      <c r="H17" s="67"/>
      <c r="I17" s="67"/>
      <c r="J17" s="68"/>
      <c r="K17" s="67"/>
      <c r="L17" s="67"/>
      <c r="M17" s="67"/>
      <c r="N17" s="67"/>
      <c r="O17" s="67"/>
      <c r="P17" s="73"/>
      <c r="Q17" s="73"/>
      <c r="R17" s="73"/>
      <c r="S17" s="73"/>
      <c r="T17" s="69"/>
      <c r="U17" s="68"/>
      <c r="V17" s="70"/>
      <c r="W17" s="67"/>
    </row>
    <row r="18" spans="1:23" ht="16.399999999999999" customHeight="1" x14ac:dyDescent="0.35">
      <c r="A18">
        <v>5</v>
      </c>
      <c r="B18" s="14"/>
      <c r="C18" s="35"/>
      <c r="D18" s="17"/>
      <c r="E18" s="76"/>
      <c r="F18" s="76"/>
      <c r="G18" s="67"/>
      <c r="H18" s="67"/>
      <c r="I18" s="67"/>
      <c r="J18" s="68"/>
      <c r="K18" s="67"/>
      <c r="L18" s="67"/>
      <c r="M18" s="67"/>
      <c r="N18" s="67"/>
      <c r="O18" s="67"/>
      <c r="P18" s="73"/>
      <c r="Q18" s="73"/>
      <c r="R18" s="73"/>
      <c r="S18" s="73"/>
      <c r="T18" s="69"/>
      <c r="U18" s="68"/>
      <c r="V18" s="70"/>
      <c r="W18" s="67"/>
    </row>
    <row r="19" spans="1:23" x14ac:dyDescent="0.35">
      <c r="A19">
        <v>6</v>
      </c>
      <c r="B19" s="14"/>
      <c r="C19" s="35"/>
      <c r="D19" s="17"/>
      <c r="E19" s="76"/>
      <c r="F19" s="76"/>
      <c r="G19" s="67"/>
      <c r="H19" s="67"/>
      <c r="I19" s="67"/>
      <c r="J19" s="68"/>
      <c r="K19" s="67"/>
      <c r="L19" s="67"/>
      <c r="M19" s="67"/>
      <c r="N19" s="67"/>
      <c r="O19" s="67"/>
      <c r="P19" s="73"/>
      <c r="Q19" s="73"/>
      <c r="R19" s="73"/>
      <c r="S19" s="73"/>
      <c r="T19" s="69"/>
      <c r="U19" s="68"/>
      <c r="V19" s="70"/>
      <c r="W19" s="67"/>
    </row>
    <row r="20" spans="1:23" x14ac:dyDescent="0.35">
      <c r="A20">
        <v>7</v>
      </c>
      <c r="B20" s="14"/>
      <c r="C20" s="35"/>
      <c r="D20" s="17"/>
      <c r="E20" s="76"/>
      <c r="F20" s="76"/>
      <c r="G20" s="67"/>
      <c r="H20" s="67"/>
      <c r="I20" s="67"/>
      <c r="J20" s="68"/>
      <c r="K20" s="67"/>
      <c r="L20" s="67"/>
      <c r="M20" s="67"/>
      <c r="N20" s="67"/>
      <c r="O20" s="67"/>
      <c r="P20" s="73"/>
      <c r="Q20" s="73"/>
      <c r="R20" s="73"/>
      <c r="S20" s="73"/>
      <c r="T20" s="69"/>
      <c r="U20" s="68"/>
      <c r="V20" s="70"/>
      <c r="W20" s="67"/>
    </row>
    <row r="21" spans="1:23" x14ac:dyDescent="0.35">
      <c r="A21">
        <v>8</v>
      </c>
      <c r="B21" s="14"/>
      <c r="C21" s="35"/>
      <c r="D21" s="17"/>
      <c r="E21" s="75"/>
      <c r="F21" s="75"/>
      <c r="G21" s="67"/>
      <c r="H21" s="67"/>
      <c r="I21" s="67"/>
      <c r="J21" s="68"/>
      <c r="K21" s="67"/>
      <c r="L21" s="67"/>
      <c r="M21" s="67"/>
      <c r="N21" s="67"/>
      <c r="O21" s="67"/>
      <c r="P21" s="73"/>
      <c r="Q21" s="73"/>
      <c r="R21" s="73"/>
      <c r="S21" s="73"/>
      <c r="T21" s="69"/>
      <c r="U21" s="68"/>
      <c r="V21" s="70"/>
      <c r="W21" s="67"/>
    </row>
    <row r="22" spans="1:23" x14ac:dyDescent="0.35">
      <c r="A22">
        <v>9</v>
      </c>
      <c r="B22" s="14"/>
      <c r="C22" s="35"/>
      <c r="D22" s="17"/>
      <c r="E22" s="75"/>
      <c r="F22" s="75"/>
      <c r="G22" s="67"/>
      <c r="H22" s="67"/>
      <c r="I22" s="67"/>
      <c r="J22" s="68"/>
      <c r="K22" s="67"/>
      <c r="L22" s="67"/>
      <c r="M22" s="67"/>
      <c r="N22" s="67"/>
      <c r="O22" s="67"/>
      <c r="P22" s="73"/>
      <c r="Q22" s="73"/>
      <c r="R22" s="73"/>
      <c r="S22" s="73"/>
      <c r="T22" s="69"/>
      <c r="U22" s="68"/>
      <c r="V22" s="70"/>
      <c r="W22" s="67"/>
    </row>
    <row r="23" spans="1:23" x14ac:dyDescent="0.35">
      <c r="A23">
        <v>10</v>
      </c>
      <c r="B23" s="14"/>
      <c r="C23" s="13"/>
      <c r="D23" s="17"/>
      <c r="E23" s="75"/>
      <c r="F23" s="75"/>
      <c r="G23" s="67"/>
      <c r="H23" s="67"/>
      <c r="I23" s="67"/>
      <c r="J23" s="68"/>
      <c r="K23" s="67"/>
      <c r="L23" s="67"/>
      <c r="M23" s="67"/>
      <c r="N23" s="67"/>
      <c r="O23" s="67"/>
      <c r="P23" s="73"/>
      <c r="Q23" s="73"/>
      <c r="R23" s="73"/>
      <c r="S23" s="73"/>
      <c r="T23" s="69"/>
      <c r="U23" s="68"/>
      <c r="V23" s="70"/>
      <c r="W23" s="67"/>
    </row>
    <row r="24" spans="1:23" x14ac:dyDescent="0.35">
      <c r="A24">
        <v>11</v>
      </c>
      <c r="B24" s="14"/>
      <c r="C24" s="13"/>
      <c r="D24" s="17"/>
      <c r="E24" s="75"/>
      <c r="F24" s="75"/>
      <c r="G24" s="67"/>
      <c r="H24" s="67"/>
      <c r="I24" s="67"/>
      <c r="J24" s="68"/>
      <c r="K24" s="67"/>
      <c r="L24" s="67"/>
      <c r="M24" s="67"/>
      <c r="N24" s="67"/>
      <c r="O24" s="67"/>
      <c r="P24" s="73"/>
      <c r="Q24" s="73"/>
      <c r="R24" s="73"/>
      <c r="S24" s="73"/>
      <c r="T24" s="69"/>
      <c r="U24" s="68"/>
      <c r="V24" s="70"/>
      <c r="W24" s="67"/>
    </row>
    <row r="25" spans="1:23" x14ac:dyDescent="0.35">
      <c r="A25">
        <v>12</v>
      </c>
      <c r="B25" s="14"/>
      <c r="C25" s="13"/>
      <c r="D25" s="17"/>
      <c r="E25" s="75"/>
      <c r="F25" s="75"/>
      <c r="G25" s="67"/>
      <c r="H25" s="67"/>
      <c r="I25" s="67"/>
      <c r="J25" s="68"/>
      <c r="K25" s="67"/>
      <c r="L25" s="67"/>
      <c r="M25" s="67"/>
      <c r="N25" s="67"/>
      <c r="O25" s="67"/>
      <c r="P25" s="73"/>
      <c r="Q25" s="73"/>
      <c r="R25" s="73"/>
      <c r="S25" s="73"/>
      <c r="T25" s="69"/>
      <c r="U25" s="68"/>
      <c r="V25" s="70"/>
      <c r="W25" s="67"/>
    </row>
    <row r="26" spans="1:23" x14ac:dyDescent="0.35">
      <c r="A26">
        <v>13</v>
      </c>
      <c r="B26" s="14"/>
      <c r="C26" s="13"/>
      <c r="D26" s="17"/>
      <c r="E26" s="75"/>
      <c r="F26" s="75"/>
      <c r="G26" s="67"/>
      <c r="H26" s="67"/>
      <c r="I26" s="67"/>
      <c r="J26" s="68"/>
      <c r="K26" s="67"/>
      <c r="L26" s="67"/>
      <c r="M26" s="67"/>
      <c r="N26" s="67"/>
      <c r="O26" s="67"/>
      <c r="P26" s="73"/>
      <c r="Q26" s="73"/>
      <c r="R26" s="73"/>
      <c r="S26" s="73"/>
      <c r="T26" s="69"/>
      <c r="U26" s="68"/>
      <c r="V26" s="70"/>
      <c r="W26" s="67"/>
    </row>
    <row r="27" spans="1:23" x14ac:dyDescent="0.35">
      <c r="A27">
        <v>14</v>
      </c>
      <c r="B27" s="14"/>
      <c r="C27" s="13"/>
      <c r="D27" s="17"/>
      <c r="E27" s="75"/>
      <c r="F27" s="75"/>
      <c r="G27" s="67"/>
      <c r="H27" s="67"/>
      <c r="I27" s="67"/>
      <c r="J27" s="68"/>
      <c r="K27" s="67"/>
      <c r="L27" s="67"/>
      <c r="M27" s="67"/>
      <c r="N27" s="67"/>
      <c r="O27" s="67"/>
      <c r="P27" s="73"/>
      <c r="Q27" s="73"/>
      <c r="R27" s="73"/>
      <c r="S27" s="73"/>
      <c r="T27" s="69"/>
      <c r="U27" s="68"/>
      <c r="V27" s="70"/>
      <c r="W27" s="67"/>
    </row>
    <row r="28" spans="1:23" x14ac:dyDescent="0.35">
      <c r="A28">
        <v>15</v>
      </c>
      <c r="B28" s="14"/>
      <c r="C28" s="13"/>
      <c r="D28" s="17"/>
      <c r="E28" s="75"/>
      <c r="F28" s="75"/>
      <c r="G28" s="67"/>
      <c r="H28" s="67"/>
      <c r="I28" s="67"/>
      <c r="J28" s="68"/>
      <c r="K28" s="67"/>
      <c r="L28" s="67"/>
      <c r="M28" s="67"/>
      <c r="N28" s="67"/>
      <c r="O28" s="67"/>
      <c r="P28" s="73"/>
      <c r="Q28" s="73"/>
      <c r="R28" s="73"/>
      <c r="S28" s="73"/>
      <c r="T28" s="69"/>
      <c r="U28" s="68"/>
      <c r="V28" s="70"/>
      <c r="W28" s="67"/>
    </row>
    <row r="29" spans="1:23" x14ac:dyDescent="0.35">
      <c r="A29">
        <v>16</v>
      </c>
      <c r="B29" s="14"/>
      <c r="C29" s="13"/>
      <c r="D29" s="17"/>
      <c r="E29" s="15"/>
      <c r="F29" s="15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</row>
    <row r="30" spans="1:23" x14ac:dyDescent="0.35">
      <c r="A30">
        <v>17</v>
      </c>
      <c r="B30" s="14"/>
      <c r="C30" s="13"/>
      <c r="D30" s="17"/>
      <c r="E30" s="15"/>
      <c r="F30" s="15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</row>
    <row r="31" spans="1:23" x14ac:dyDescent="0.35">
      <c r="A31">
        <v>18</v>
      </c>
      <c r="B31" s="14"/>
      <c r="C31" s="13"/>
      <c r="D31" s="17"/>
      <c r="E31" s="15"/>
      <c r="F31" s="15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</row>
    <row r="32" spans="1:23" x14ac:dyDescent="0.35">
      <c r="A32">
        <v>19</v>
      </c>
      <c r="B32" s="14"/>
      <c r="C32" s="13"/>
      <c r="D32" s="17"/>
      <c r="E32" s="15"/>
      <c r="F32" s="15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</row>
    <row r="33" spans="1:23" x14ac:dyDescent="0.35">
      <c r="A33">
        <v>20</v>
      </c>
      <c r="B33" s="14"/>
      <c r="C33" s="13"/>
      <c r="D33" s="17"/>
      <c r="E33" s="15"/>
      <c r="F33" s="15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</row>
    <row r="34" spans="1:23" x14ac:dyDescent="0.35">
      <c r="A34">
        <v>21</v>
      </c>
      <c r="B34" s="14"/>
      <c r="C34" s="13"/>
      <c r="D34" s="17"/>
      <c r="E34" s="15"/>
      <c r="F34" s="15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</row>
  </sheetData>
  <mergeCells count="1">
    <mergeCell ref="E9:W9"/>
  </mergeCells>
  <pageMargins left="0.7" right="0.7" top="0.75" bottom="0.75" header="0.3" footer="0.3"/>
  <pageSetup orientation="portrait" r:id="rId1"/>
  <headerFooter>
    <oddHeader>&amp;R&amp;"Calibri"&amp;10&amp;K000000Highly Restricted&amp;1#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39F4C0C-0842-44D3-A12C-EBFBCA72042B}">
          <x14:formula1>
            <xm:f>Ingredients!$A$3:$A$1048576</xm:f>
          </x14:formula1>
          <xm:sqref>B14:B34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7153B-55DC-41D6-9331-BCFC09F96701}">
  <dimension ref="A1:K71"/>
  <sheetViews>
    <sheetView zoomScale="69" zoomScaleNormal="100" workbookViewId="0">
      <selection activeCell="C58" sqref="C58"/>
    </sheetView>
  </sheetViews>
  <sheetFormatPr defaultColWidth="9.1796875" defaultRowHeight="14.5" x14ac:dyDescent="0.35"/>
  <cols>
    <col min="1" max="1" width="17.453125" bestFit="1" customWidth="1"/>
    <col min="2" max="2" width="9.81640625" bestFit="1" customWidth="1"/>
    <col min="3" max="3" width="30.54296875" bestFit="1" customWidth="1"/>
    <col min="4" max="4" width="33" customWidth="1"/>
    <col min="5" max="5" width="31.54296875" bestFit="1" customWidth="1"/>
    <col min="6" max="6" width="26.453125" customWidth="1"/>
    <col min="7" max="7" width="27.1796875" customWidth="1"/>
    <col min="8" max="8" width="23.54296875" customWidth="1"/>
    <col min="9" max="9" width="6.81640625" bestFit="1" customWidth="1"/>
    <col min="10" max="10" width="8.54296875" customWidth="1"/>
    <col min="11" max="11" width="9.54296875" bestFit="1" customWidth="1"/>
    <col min="12" max="12" width="7.54296875" bestFit="1" customWidth="1"/>
    <col min="13" max="13" width="8.81640625" bestFit="1" customWidth="1"/>
    <col min="14" max="14" width="8.1796875" bestFit="1" customWidth="1"/>
    <col min="15" max="15" width="9.453125" bestFit="1" customWidth="1"/>
    <col min="16" max="16" width="8.1796875" bestFit="1" customWidth="1"/>
    <col min="17" max="17" width="7.54296875" bestFit="1" customWidth="1"/>
  </cols>
  <sheetData>
    <row r="1" spans="1:9" x14ac:dyDescent="0.35">
      <c r="A1" s="13" t="s">
        <v>36</v>
      </c>
    </row>
    <row r="2" spans="1:9" x14ac:dyDescent="0.35">
      <c r="A2" t="s">
        <v>94</v>
      </c>
      <c r="B2" s="13" t="s">
        <v>145</v>
      </c>
      <c r="D2" t="str">
        <f>A2&amp;" "&amp; B2</f>
        <v>Formulation OTR</v>
      </c>
      <c r="G2" cm="1">
        <f t="array" aca="1" ref="G2" ca="1">INDIRECT("'"&amp;D2&amp;"'!C7")</f>
        <v>7</v>
      </c>
      <c r="H2" t="s">
        <v>46</v>
      </c>
      <c r="I2" t="s">
        <v>99</v>
      </c>
    </row>
    <row r="3" spans="1:9" x14ac:dyDescent="0.35">
      <c r="A3" t="str">
        <f>'Formulation STOF2'!B6</f>
        <v>Smooth Texture Sugar Free Orange Natural Dyes</v>
      </c>
      <c r="D3" t="s">
        <v>44</v>
      </c>
      <c r="E3" t="s">
        <v>45</v>
      </c>
      <c r="G3" s="27" cm="1">
        <f t="array" aca="1" ref="G3" ca="1">INDIRECT("'"&amp;D2&amp;"'!D6")</f>
        <v>14</v>
      </c>
      <c r="H3" t="s">
        <v>46</v>
      </c>
      <c r="I3" t="s">
        <v>100</v>
      </c>
    </row>
    <row r="5" spans="1:9" ht="15.5" x14ac:dyDescent="0.35">
      <c r="A5" s="146" t="s">
        <v>104</v>
      </c>
      <c r="B5" t="s">
        <v>101</v>
      </c>
      <c r="C5" s="18">
        <f ca="1">(4*F24)+(4*C10)+(9*C31)</f>
        <v>26.784345070000001</v>
      </c>
      <c r="D5" s="50" t="s">
        <v>95</v>
      </c>
      <c r="E5" s="74" t="s">
        <v>96</v>
      </c>
      <c r="F5" s="74" t="s">
        <v>98</v>
      </c>
    </row>
    <row r="6" spans="1:9" ht="15.5" x14ac:dyDescent="0.35">
      <c r="A6" s="146"/>
      <c r="B6" t="s">
        <v>102</v>
      </c>
      <c r="C6" s="18">
        <f ca="1">(4*F24)+(9*C31)+(4*(C10-D10))+(2*D10)</f>
        <v>21.018067070000001</v>
      </c>
      <c r="D6" s="50" t="s">
        <v>95</v>
      </c>
      <c r="E6" s="74" t="s">
        <v>97</v>
      </c>
      <c r="F6" s="74" t="s">
        <v>115</v>
      </c>
    </row>
    <row r="7" spans="1:9" ht="15.5" x14ac:dyDescent="0.35">
      <c r="A7" s="146"/>
      <c r="B7" t="s">
        <v>103</v>
      </c>
      <c r="C7" s="18">
        <f ca="1">(4*F24)+(9*C31)+(4*(C10-D10))+(2*E10)</f>
        <v>20.102894070000001</v>
      </c>
      <c r="D7" s="50" t="s">
        <v>95</v>
      </c>
      <c r="E7" s="74" t="s">
        <v>97</v>
      </c>
      <c r="F7" s="74" t="s">
        <v>116</v>
      </c>
    </row>
    <row r="8" spans="1:9" s="51" customFormat="1" ht="7" customHeight="1" x14ac:dyDescent="0.35">
      <c r="C8" s="52"/>
      <c r="D8" s="53"/>
      <c r="E8" s="53"/>
    </row>
    <row r="9" spans="1:9" ht="30" customHeight="1" x14ac:dyDescent="0.35">
      <c r="A9" s="150" t="s">
        <v>49</v>
      </c>
      <c r="B9" s="18"/>
      <c r="C9" s="48" t="str" cm="1">
        <f t="array" aca="1" ref="C9" ca="1">INDIRECT("'"&amp;D2&amp;"'!K13")</f>
        <v>Total carbohydrate</v>
      </c>
      <c r="D9" s="49" t="str" cm="1">
        <f t="array" aca="1" ref="D9" ca="1">INDIRECT("'"&amp;D2&amp;"'!L13")</f>
        <v>Total dietary fiber</v>
      </c>
      <c r="E9" s="49" t="str" cm="1">
        <f t="array" aca="1" ref="E9" ca="1">INDIRECT("'"&amp;D2&amp;"'!M13")</f>
        <v>Soluble fiber</v>
      </c>
    </row>
    <row r="10" spans="1:9" x14ac:dyDescent="0.35">
      <c r="A10" s="150"/>
      <c r="B10" s="18" t="s">
        <v>50</v>
      </c>
      <c r="C10" s="21" cm="1">
        <f t="array" aca="1" ref="C10" ca="1">INDIRECT("'"&amp;D2&amp;"'!K8")</f>
        <v>6.5456159999999999</v>
      </c>
      <c r="D10" s="21" cm="1">
        <f t="array" aca="1" ref="D10" ca="1">INDIRECT("'"&amp;D2&amp;"'!L8")</f>
        <v>2.8831389999999999</v>
      </c>
      <c r="E10" s="21" cm="1">
        <f t="array" aca="1" ref="E10" ca="1">INDIRECT("'"&amp;D2&amp;"'!M8")</f>
        <v>2.4255525000000002</v>
      </c>
    </row>
    <row r="11" spans="1:9" x14ac:dyDescent="0.35">
      <c r="A11" s="150"/>
      <c r="B11" s="18" t="s">
        <v>51</v>
      </c>
      <c r="C11" s="21">
        <v>275</v>
      </c>
      <c r="D11" s="21">
        <v>28</v>
      </c>
      <c r="E11" s="21" t="s">
        <v>52</v>
      </c>
    </row>
    <row r="12" spans="1:9" x14ac:dyDescent="0.35">
      <c r="A12" s="150"/>
      <c r="B12" s="18" t="s">
        <v>53</v>
      </c>
      <c r="C12" s="26">
        <f ca="1">C10/C11</f>
        <v>2.3802239999999999E-2</v>
      </c>
      <c r="D12" s="26">
        <f ca="1">D10/D11</f>
        <v>0.10296925</v>
      </c>
      <c r="E12" s="26" t="s">
        <v>52</v>
      </c>
    </row>
    <row r="13" spans="1:9" ht="127" customHeight="1" x14ac:dyDescent="0.35">
      <c r="A13" s="150"/>
      <c r="B13" s="18"/>
      <c r="C13" s="1" t="str">
        <f>'Nutrition STONF'!C13</f>
        <v>&lt; 0.5g - express as 0
&lt; 1g - express as "contains less than 1g" or "less than 1g"
≥1g - express to nearest 1g increment
Insignificant amount is &lt; 1g</v>
      </c>
      <c r="D13" s="1" t="str">
        <f>'Nutrition STONF'!D13</f>
        <v>&lt; 0.5g - express as 0
&lt; 1g - express as "contains less than 1g" or "less than 1g"
≥1g - express to nearest 1g increment
Insignificant amount is &lt; 1g</v>
      </c>
      <c r="E13" s="1" t="str">
        <f>'Nutrition STONF'!E13</f>
        <v>- Label value  based on calculation of psyllium being 70% soluble fiber (3.4g psyllium * 0.70 = 2.4g)
&lt; 0.5g - express as 0
&lt; 1g - express as "contains less than 1g" or "less than 1g"
≥1g - express to nearest 1g increment
Insignificant amount is &lt; 0.5g</v>
      </c>
    </row>
    <row r="14" spans="1:9" x14ac:dyDescent="0.35">
      <c r="A14" s="150"/>
      <c r="B14" s="18" t="s">
        <v>56</v>
      </c>
      <c r="C14" s="31" t="s">
        <v>168</v>
      </c>
      <c r="D14" s="31" t="s">
        <v>58</v>
      </c>
      <c r="E14" s="31" t="s">
        <v>59</v>
      </c>
    </row>
    <row r="16" spans="1:9" x14ac:dyDescent="0.35">
      <c r="A16" s="150" t="s">
        <v>49</v>
      </c>
      <c r="B16" s="18"/>
      <c r="C16" s="19" t="str" cm="1">
        <f t="array" aca="1" ref="C16" ca="1">INDIRECT("'"&amp;D2&amp;"'!P13")</f>
        <v xml:space="preserve">Iron </v>
      </c>
      <c r="D16" s="19" t="str" cm="1">
        <f t="array" aca="1" ref="D16" ca="1">INDIRECT("'"&amp;D2&amp;"'!Q13")</f>
        <v>Potassium</v>
      </c>
      <c r="E16" s="19" t="str" cm="1">
        <f t="array" aca="1" ref="E16" ca="1">INDIRECT("'"&amp;D2&amp;"'!S13")</f>
        <v>Calcium</v>
      </c>
    </row>
    <row r="17" spans="1:6" x14ac:dyDescent="0.35">
      <c r="A17" s="150"/>
      <c r="B17" s="18" t="s">
        <v>50</v>
      </c>
      <c r="C17" s="22" cm="1">
        <f t="array" aca="1" ref="C17" ca="1">INDIRECT("'"&amp;D2&amp;"'!P8")</f>
        <v>0.27013875000000004</v>
      </c>
      <c r="D17" s="22" cm="1">
        <f t="array" aca="1" ref="D17" ca="1">INDIRECT("'"&amp;D2&amp;"'!Q8")</f>
        <v>29.212225000000004</v>
      </c>
      <c r="E17" s="22" cm="1">
        <f t="array" aca="1" ref="E17" ca="1">INDIRECT("'"&amp;D2&amp;"'!S8")</f>
        <v>6.0623188499999996</v>
      </c>
    </row>
    <row r="18" spans="1:6" x14ac:dyDescent="0.35">
      <c r="A18" s="150"/>
      <c r="B18" s="18" t="s">
        <v>51</v>
      </c>
      <c r="C18" s="22">
        <v>18</v>
      </c>
      <c r="D18" s="22">
        <v>4700</v>
      </c>
      <c r="E18" s="22">
        <v>1300</v>
      </c>
    </row>
    <row r="19" spans="1:6" x14ac:dyDescent="0.35">
      <c r="A19" s="150"/>
      <c r="B19" s="18" t="s">
        <v>53</v>
      </c>
      <c r="C19" s="26">
        <f ca="1">C17/C18</f>
        <v>1.5007708333333335E-2</v>
      </c>
      <c r="D19" s="26">
        <f t="shared" ref="D19:E19" ca="1" si="0">D17/D18</f>
        <v>6.2153670212765962E-3</v>
      </c>
      <c r="E19" s="26">
        <f t="shared" ca="1" si="0"/>
        <v>4.6633221923076916E-3</v>
      </c>
    </row>
    <row r="20" spans="1:6" ht="39" x14ac:dyDescent="0.35">
      <c r="A20" s="150"/>
      <c r="B20" s="18"/>
      <c r="C20" s="1" t="str">
        <f>'Nutrition STONF'!C20</f>
        <v>&lt;2% DV: shall not be declared 
&gt; 2% DV: round to nearest 0.1 mg and round to nearest % DV</v>
      </c>
      <c r="D20" s="1" t="str">
        <f>'Nutrition STONF'!D20</f>
        <v>&lt;2% DV: shall not be declared 
&gt; 2% DV: round to nearest 10 mg and round to nearest % DV</v>
      </c>
      <c r="E20" s="1" t="str">
        <f>'Nutrition STONF'!E20</f>
        <v>&lt;2% DV: shall not be declared 
&gt; 2% DV: round to nearest 10 mg and round to nearest % DV</v>
      </c>
    </row>
    <row r="21" spans="1:6" x14ac:dyDescent="0.35">
      <c r="A21" s="150"/>
      <c r="B21" s="18" t="s">
        <v>56</v>
      </c>
      <c r="C21" s="31" t="s">
        <v>140</v>
      </c>
      <c r="D21" s="31" t="s">
        <v>60</v>
      </c>
      <c r="E21" s="31" t="s">
        <v>131</v>
      </c>
    </row>
    <row r="23" spans="1:6" x14ac:dyDescent="0.35">
      <c r="A23" s="150" t="s">
        <v>49</v>
      </c>
      <c r="B23" s="18"/>
      <c r="C23" s="19" t="str" cm="1">
        <f t="array" aca="1" ref="C23" ca="1">INDIRECT("'"&amp;D2&amp;"'!T13")</f>
        <v>Vitamin A</v>
      </c>
      <c r="D23" s="19" t="str" cm="1">
        <f t="array" aca="1" ref="D23" ca="1">INDIRECT("'"&amp;D2&amp;"'!U13")</f>
        <v>Vitamin C</v>
      </c>
      <c r="E23" s="19" t="str" cm="1">
        <f t="array" aca="1" ref="E23" ca="1">INDIRECT("'"&amp;D2&amp;"'!V13")</f>
        <v>Vitamin D</v>
      </c>
      <c r="F23" s="19" t="str" cm="1">
        <f t="array" aca="1" ref="F23" ca="1">INDIRECT("'"&amp;D2&amp;"'!W13")</f>
        <v>Protein</v>
      </c>
    </row>
    <row r="24" spans="1:6" x14ac:dyDescent="0.35">
      <c r="A24" s="150"/>
      <c r="B24" s="18" t="s">
        <v>50</v>
      </c>
      <c r="C24" s="23" cm="1">
        <f t="array" aca="1" ref="C24" ca="1">INDIRECT("'"&amp;D2&amp;"'!T8")</f>
        <v>0</v>
      </c>
      <c r="D24" s="24" cm="1">
        <f t="array" aca="1" ref="D24" ca="1">INDIRECT("'"&amp;D2&amp;"'!U8")</f>
        <v>0</v>
      </c>
      <c r="E24" s="24" cm="1">
        <f t="array" aca="1" ref="E24" ca="1">INDIRECT("'"&amp;D2&amp;"'!V8")</f>
        <v>0</v>
      </c>
      <c r="F24" s="21" cm="1">
        <f t="array" aca="1" ref="F24" ca="1">INDIRECT("'"&amp;D2&amp;"'!W8")</f>
        <v>7.228490500000001E-2</v>
      </c>
    </row>
    <row r="25" spans="1:6" x14ac:dyDescent="0.35">
      <c r="A25" s="150"/>
      <c r="B25" s="18" t="s">
        <v>51</v>
      </c>
      <c r="C25" s="26" t="s">
        <v>52</v>
      </c>
      <c r="D25" s="26" t="s">
        <v>52</v>
      </c>
      <c r="E25" s="26">
        <v>0.2</v>
      </c>
      <c r="F25" s="26" t="s">
        <v>52</v>
      </c>
    </row>
    <row r="26" spans="1:6" x14ac:dyDescent="0.35">
      <c r="A26" s="150"/>
      <c r="B26" s="18" t="s">
        <v>53</v>
      </c>
      <c r="C26" s="26" t="s">
        <v>52</v>
      </c>
      <c r="D26" s="26" t="s">
        <v>52</v>
      </c>
      <c r="E26" s="26">
        <f t="shared" ref="E26" ca="1" si="1">E24/E25</f>
        <v>0</v>
      </c>
      <c r="F26" s="26" t="s">
        <v>52</v>
      </c>
    </row>
    <row r="27" spans="1:6" ht="78" x14ac:dyDescent="0.35">
      <c r="A27" s="150"/>
      <c r="B27" s="18"/>
      <c r="C27" s="1" t="str">
        <f>'Nutrition STONF'!C27</f>
        <v>&lt;2% DV: shall not be declared 
&gt; 2% DV: round to nearest 10 mcg RAE and round to nearest % DV</v>
      </c>
      <c r="D27" s="1" t="str">
        <f>'Nutrition STONF'!D27</f>
        <v>&lt;2% DV: shall not be declared 
&gt; 2% DV: round to nearest 1 mg and round to nearest % DV</v>
      </c>
      <c r="E27" s="1" t="str">
        <f>'Nutrition STONF'!E27</f>
        <v>&lt;2% DV: shall not be declared 
&gt; 2% DV: round to nearest 0.1 mcg and round to nearest % DV</v>
      </c>
      <c r="F27" s="1" t="str">
        <f>'Nutrition STONF'!F27</f>
        <v>&lt; 0.5g - express as 0
&lt; 1g - express as "contains less than 1g" or "less than 1g"
≥1g - express to nearest 1g increment
Insignificant amount is &lt; 0.5g</v>
      </c>
    </row>
    <row r="28" spans="1:6" x14ac:dyDescent="0.35">
      <c r="A28" s="150"/>
      <c r="B28" s="18" t="s">
        <v>56</v>
      </c>
      <c r="C28" s="31" t="s">
        <v>61</v>
      </c>
      <c r="D28" s="31" t="s">
        <v>62</v>
      </c>
      <c r="E28" s="31">
        <v>0</v>
      </c>
      <c r="F28" s="31" t="s">
        <v>63</v>
      </c>
    </row>
    <row r="30" spans="1:6" x14ac:dyDescent="0.35">
      <c r="A30" s="149" t="s">
        <v>64</v>
      </c>
      <c r="B30" s="18"/>
      <c r="C30" s="19" t="s">
        <v>6</v>
      </c>
      <c r="D30" s="19" t="s">
        <v>7</v>
      </c>
      <c r="E30" s="19" t="s">
        <v>8</v>
      </c>
      <c r="F30" s="19" t="s">
        <v>9</v>
      </c>
    </row>
    <row r="31" spans="1:6" x14ac:dyDescent="0.35">
      <c r="A31" s="149"/>
      <c r="B31" s="18" t="s">
        <v>50</v>
      </c>
      <c r="C31" s="21" cm="1">
        <f t="array" aca="1" ref="C31" ca="1">INDIRECT("'"&amp;D2&amp;"'!G8")</f>
        <v>3.4749050000000004E-2</v>
      </c>
      <c r="D31" s="21" cm="1">
        <f t="array" aca="1" ref="D31" ca="1">INDIRECT("'"&amp;D2&amp;"'!H8")</f>
        <v>5.7112300000000003E-3</v>
      </c>
      <c r="E31" s="21" cm="1">
        <f t="array" aca="1" ref="E31" ca="1">INDIRECT("'"&amp;D2&amp;"'!I8")</f>
        <v>0</v>
      </c>
      <c r="F31" s="21" cm="1">
        <f t="array" aca="1" ref="F31" ca="1">INDIRECT("'"&amp;D2&amp;"'!J8")</f>
        <v>0</v>
      </c>
    </row>
    <row r="32" spans="1:6" x14ac:dyDescent="0.35">
      <c r="A32" s="149"/>
      <c r="B32" s="18" t="s">
        <v>51</v>
      </c>
      <c r="C32" s="21" t="s">
        <v>52</v>
      </c>
      <c r="D32" s="21" t="s">
        <v>52</v>
      </c>
      <c r="E32" s="21" t="s">
        <v>52</v>
      </c>
      <c r="F32" s="21" t="s">
        <v>52</v>
      </c>
    </row>
    <row r="33" spans="1:11" x14ac:dyDescent="0.35">
      <c r="A33" s="149"/>
      <c r="B33" s="18" t="s">
        <v>53</v>
      </c>
      <c r="C33" s="26" t="s">
        <v>52</v>
      </c>
      <c r="D33" s="26" t="s">
        <v>52</v>
      </c>
      <c r="E33" s="26" t="s">
        <v>52</v>
      </c>
      <c r="F33" s="26" t="s">
        <v>52</v>
      </c>
    </row>
    <row r="34" spans="1:11" ht="73.400000000000006" customHeight="1" x14ac:dyDescent="0.35">
      <c r="A34" s="149"/>
      <c r="B34" s="18"/>
      <c r="C34" s="1" t="str">
        <f>'Nutrition STONF'!C34</f>
        <v xml:space="preserve">&lt; 0.5g - express as 0
&lt; 5 g - nearest 0.5 g increment
&gt; 5 g: nearest 1 g increment
</v>
      </c>
      <c r="D34" s="1" t="str">
        <f>'Nutrition STONF'!D34</f>
        <v xml:space="preserve">&lt; 0.5g - express as 0
&lt; 5 g - nearest 0.5 g increment
&gt; 5 g: nearest 1 g increment
</v>
      </c>
      <c r="E34" s="1" t="str">
        <f>'Nutrition STONF'!E34</f>
        <v xml:space="preserve">&lt; 0.5g - express as 0
&lt; 5 g - nearest 0.5 g increment
&gt; 5 g: nearest 1 g increment
</v>
      </c>
      <c r="F34" s="1" t="str">
        <f>'Nutrition STONF'!F34</f>
        <v>&lt; 2mg: express as 0
2-5 mg: "less than 5 mg"
&gt; 5 mg: 5 mg increment</v>
      </c>
    </row>
    <row r="35" spans="1:11" x14ac:dyDescent="0.35">
      <c r="A35" s="149"/>
      <c r="B35" s="18" t="s">
        <v>56</v>
      </c>
      <c r="C35" s="31"/>
      <c r="D35" s="31"/>
      <c r="E35" s="31"/>
      <c r="F35" s="31"/>
    </row>
    <row r="37" spans="1:11" ht="30" customHeight="1" x14ac:dyDescent="0.35">
      <c r="A37" s="149" t="s">
        <v>64</v>
      </c>
      <c r="B37" s="18"/>
      <c r="C37" s="20" t="str" cm="1">
        <f t="array" aca="1" ref="C37" ca="1">INDIRECT("'"&amp;D2&amp;"'!E13")</f>
        <v>Calories (US Rules)</v>
      </c>
      <c r="D37" s="19" t="s">
        <v>5</v>
      </c>
      <c r="E37" s="19" t="str" cm="1">
        <f t="array" aca="1" ref="E37" ca="1">INDIRECT("'"&amp;D2&amp;"'!N13")</f>
        <v xml:space="preserve">Sugar </v>
      </c>
      <c r="F37" s="19" t="str" cm="1">
        <f t="array" aca="1" ref="F37" ca="1">INDIRECT("'"&amp;D2&amp;"'!O13")</f>
        <v>Added Sugars</v>
      </c>
      <c r="G37" s="19" t="str" cm="1">
        <f t="array" aca="1" ref="G37" ca="1">INDIRECT("'"&amp;D2&amp;"'!R13")</f>
        <v>Sodium</v>
      </c>
    </row>
    <row r="38" spans="1:11" x14ac:dyDescent="0.35">
      <c r="A38" s="149"/>
      <c r="B38" s="18" t="s">
        <v>50</v>
      </c>
      <c r="C38" s="20">
        <f ca="1">C7</f>
        <v>20.102894070000001</v>
      </c>
      <c r="D38" s="20" cm="1">
        <f t="array" aca="1" ref="D38" ca="1">INDIRECT("'"&amp;D2&amp;"'!F8")</f>
        <v>0.14869841</v>
      </c>
      <c r="E38" s="21" cm="1">
        <f t="array" aca="1" ref="E38" ca="1">INDIRECT("'"&amp;D2&amp;"'!N8")</f>
        <v>3.5558214999999995</v>
      </c>
      <c r="F38" s="21" cm="1">
        <f t="array" aca="1" ref="F38" ca="1">INDIRECT("'"&amp;D2&amp;"'!O8")</f>
        <v>3.5523809999999996</v>
      </c>
      <c r="G38" s="22" cm="1">
        <f t="array" aca="1" ref="G38" ca="1">INDIRECT("'"&amp;D2&amp;"'!R8")</f>
        <v>2.4559867499999997</v>
      </c>
    </row>
    <row r="39" spans="1:11" x14ac:dyDescent="0.35">
      <c r="A39" s="149"/>
      <c r="B39" s="18"/>
      <c r="C39" s="20" t="s">
        <v>52</v>
      </c>
      <c r="D39" s="20" t="s">
        <v>52</v>
      </c>
      <c r="E39" s="21" t="s">
        <v>52</v>
      </c>
      <c r="F39" s="21">
        <v>50</v>
      </c>
      <c r="G39" s="22">
        <v>2300</v>
      </c>
    </row>
    <row r="40" spans="1:11" x14ac:dyDescent="0.35">
      <c r="A40" s="149"/>
      <c r="B40" s="18" t="s">
        <v>53</v>
      </c>
      <c r="C40" s="25" t="s">
        <v>52</v>
      </c>
      <c r="D40" s="25" t="s">
        <v>52</v>
      </c>
      <c r="E40" s="26" t="s">
        <v>52</v>
      </c>
      <c r="F40" s="26">
        <f t="shared" ref="F40:G40" ca="1" si="2">F38/F39</f>
        <v>7.1047619999999992E-2</v>
      </c>
      <c r="G40" s="26">
        <f t="shared" ca="1" si="2"/>
        <v>1.0678203260869564E-3</v>
      </c>
    </row>
    <row r="41" spans="1:11" ht="193.4" customHeight="1" x14ac:dyDescent="0.35">
      <c r="A41" s="149"/>
      <c r="B41" s="18"/>
      <c r="C41" s="1" t="str">
        <f>'Nutrition STONF'!C41</f>
        <v>&lt; 5 cal - express as 0
≤ 50 cal - express to nearest 5 cal increment
&gt; 50 cal - express to nearest 10 cal increment
Insignificant amount is &lt; 5 cal</v>
      </c>
      <c r="D41" s="1" t="str">
        <f>'Nutrition STONF'!D41</f>
        <v>Not required to be declared</v>
      </c>
      <c r="E41" s="1" t="str">
        <f>'Nutrition STONF'!E41</f>
        <v>&lt; 0.5g - express as 0
&lt; 1g - express as "contains less than 1g" or "less than 1g"
≥1g - express to nearest 1g increment
Insignificant amount is &lt; 0.5g</v>
      </c>
      <c r="F41" s="1" t="str">
        <f>'Nutrition STONF'!F41</f>
        <v>&lt; 0.5g - express as 0
&lt; 1g - express as "contains less than 1g" or "less than 1g"
≥1g - express to nearest 1g increment
Insignificant amount is &lt; 0.5g</v>
      </c>
      <c r="G41" s="1" t="str">
        <f>'Nutrition STONF'!G41</f>
        <v>&lt; 5mg - express as 0
5-140mg - express to nearest 5mg increment
&gt; 140mg - express to nearest 10mg increment
Insignificant amount is &lt; 5mg</v>
      </c>
      <c r="K41" s="32"/>
    </row>
    <row r="42" spans="1:11" x14ac:dyDescent="0.35">
      <c r="A42" s="149"/>
      <c r="B42" s="18" t="s">
        <v>56</v>
      </c>
      <c r="C42" s="31" t="s">
        <v>66</v>
      </c>
      <c r="D42" s="31">
        <v>0</v>
      </c>
      <c r="E42" s="30">
        <v>0</v>
      </c>
      <c r="F42" s="31">
        <v>0</v>
      </c>
      <c r="G42" s="31">
        <v>0</v>
      </c>
      <c r="K42" s="33"/>
    </row>
    <row r="43" spans="1:11" x14ac:dyDescent="0.35">
      <c r="A43" s="29"/>
      <c r="D43" s="28"/>
      <c r="K43" s="34"/>
    </row>
    <row r="44" spans="1:11" x14ac:dyDescent="0.35">
      <c r="D44" s="28"/>
      <c r="K44" s="34"/>
    </row>
    <row r="45" spans="1:11" x14ac:dyDescent="0.35">
      <c r="D45" s="28"/>
    </row>
    <row r="46" spans="1:11" ht="15" thickBot="1" x14ac:dyDescent="0.4">
      <c r="D46" s="28"/>
    </row>
    <row r="47" spans="1:11" x14ac:dyDescent="0.35">
      <c r="A47" s="43" t="s">
        <v>172</v>
      </c>
      <c r="B47" s="43"/>
      <c r="C47" s="113"/>
      <c r="F47" s="106"/>
      <c r="G47" s="107" t="s">
        <v>169</v>
      </c>
      <c r="H47" s="107" t="s">
        <v>170</v>
      </c>
      <c r="I47" s="107"/>
      <c r="J47" s="107"/>
      <c r="K47" s="108"/>
    </row>
    <row r="48" spans="1:11" x14ac:dyDescent="0.35">
      <c r="A48" s="42" t="s">
        <v>162</v>
      </c>
      <c r="B48" s="42">
        <v>149177309</v>
      </c>
      <c r="F48" s="83" t="s">
        <v>10</v>
      </c>
      <c r="G48" t="s">
        <v>168</v>
      </c>
      <c r="H48">
        <f>D56</f>
        <v>6.6010000000000009</v>
      </c>
      <c r="I48" t="s">
        <v>126</v>
      </c>
      <c r="K48" s="84"/>
    </row>
    <row r="49" spans="1:11" x14ac:dyDescent="0.35">
      <c r="B49" t="s">
        <v>163</v>
      </c>
      <c r="D49" t="s">
        <v>167</v>
      </c>
      <c r="F49" s="83" t="s">
        <v>11</v>
      </c>
      <c r="G49" t="s">
        <v>58</v>
      </c>
      <c r="H49">
        <f>D57</f>
        <v>2.0650000000000004</v>
      </c>
      <c r="I49" t="s">
        <v>126</v>
      </c>
      <c r="K49" s="84"/>
    </row>
    <row r="50" spans="1:11" x14ac:dyDescent="0.35">
      <c r="A50" s="9" t="s">
        <v>43</v>
      </c>
      <c r="B50">
        <v>308</v>
      </c>
      <c r="D50">
        <f>(7/100)*B50</f>
        <v>21.560000000000002</v>
      </c>
      <c r="F50" s="83" t="s">
        <v>12</v>
      </c>
      <c r="G50" t="s">
        <v>59</v>
      </c>
      <c r="H50">
        <f>D58</f>
        <v>1.5190000000000001</v>
      </c>
      <c r="I50" t="s">
        <v>126</v>
      </c>
      <c r="K50" s="84"/>
    </row>
    <row r="51" spans="1:11" x14ac:dyDescent="0.35">
      <c r="A51" s="9" t="s">
        <v>5</v>
      </c>
      <c r="B51">
        <v>1.22</v>
      </c>
      <c r="D51">
        <f t="shared" ref="D51:D68" si="3">(7/100)*B51</f>
        <v>8.5400000000000004E-2</v>
      </c>
      <c r="F51" s="83" t="s">
        <v>15</v>
      </c>
      <c r="G51" t="s">
        <v>140</v>
      </c>
      <c r="H51">
        <f>D61</f>
        <v>144.9</v>
      </c>
      <c r="I51" t="s">
        <v>132</v>
      </c>
      <c r="J51" s="37">
        <f>H51/1000</f>
        <v>0.1449</v>
      </c>
      <c r="K51" s="94" t="s">
        <v>130</v>
      </c>
    </row>
    <row r="52" spans="1:11" x14ac:dyDescent="0.35">
      <c r="A52" s="71" t="s">
        <v>6</v>
      </c>
      <c r="B52">
        <v>0.13600000000000001</v>
      </c>
      <c r="D52">
        <f t="shared" si="3"/>
        <v>9.5200000000000024E-3</v>
      </c>
      <c r="F52" s="83" t="s">
        <v>16</v>
      </c>
      <c r="G52" t="s">
        <v>60</v>
      </c>
      <c r="H52">
        <v>18410</v>
      </c>
      <c r="I52" t="s">
        <v>132</v>
      </c>
      <c r="J52" s="37">
        <f>H52/1000</f>
        <v>18.41</v>
      </c>
      <c r="K52" s="94" t="s">
        <v>130</v>
      </c>
    </row>
    <row r="53" spans="1:11" x14ac:dyDescent="0.35">
      <c r="A53" s="71" t="s">
        <v>7</v>
      </c>
      <c r="B53">
        <v>3.1E-2</v>
      </c>
      <c r="D53">
        <f t="shared" si="3"/>
        <v>2.1700000000000001E-3</v>
      </c>
      <c r="F53" s="83" t="s">
        <v>18</v>
      </c>
      <c r="G53" t="s">
        <v>131</v>
      </c>
      <c r="H53">
        <f>D64</f>
        <v>34.860000000000007</v>
      </c>
      <c r="I53" t="s">
        <v>171</v>
      </c>
      <c r="J53" s="37"/>
      <c r="K53" s="94"/>
    </row>
    <row r="54" spans="1:11" x14ac:dyDescent="0.35">
      <c r="A54" s="71" t="s">
        <v>8</v>
      </c>
      <c r="B54">
        <v>7.0000000000000001E-3</v>
      </c>
      <c r="D54">
        <f t="shared" si="3"/>
        <v>4.9000000000000009E-4</v>
      </c>
      <c r="F54" s="83" t="s">
        <v>19</v>
      </c>
      <c r="G54" t="s">
        <v>140</v>
      </c>
      <c r="H54">
        <v>0</v>
      </c>
      <c r="J54" s="37"/>
      <c r="K54" s="94"/>
    </row>
    <row r="55" spans="1:11" x14ac:dyDescent="0.35">
      <c r="A55" s="71" t="s">
        <v>9</v>
      </c>
      <c r="B55" t="s">
        <v>164</v>
      </c>
      <c r="C55" t="s">
        <v>165</v>
      </c>
      <c r="D55">
        <f>0.01*7</f>
        <v>7.0000000000000007E-2</v>
      </c>
      <c r="E55" t="s">
        <v>132</v>
      </c>
      <c r="F55" s="83" t="s">
        <v>20</v>
      </c>
      <c r="G55" t="s">
        <v>62</v>
      </c>
      <c r="H55">
        <v>0</v>
      </c>
      <c r="J55" s="37"/>
      <c r="K55" s="94"/>
    </row>
    <row r="56" spans="1:11" x14ac:dyDescent="0.35">
      <c r="A56" s="71" t="s">
        <v>10</v>
      </c>
      <c r="B56">
        <v>94.3</v>
      </c>
      <c r="D56">
        <f t="shared" si="3"/>
        <v>6.6010000000000009</v>
      </c>
      <c r="F56" s="83" t="s">
        <v>21</v>
      </c>
      <c r="G56">
        <v>0</v>
      </c>
      <c r="H56">
        <v>0</v>
      </c>
      <c r="J56" s="37"/>
      <c r="K56" s="94"/>
    </row>
    <row r="57" spans="1:11" x14ac:dyDescent="0.35">
      <c r="A57" s="71" t="s">
        <v>11</v>
      </c>
      <c r="B57">
        <v>29.5</v>
      </c>
      <c r="D57">
        <f t="shared" si="3"/>
        <v>2.0650000000000004</v>
      </c>
      <c r="F57" s="83" t="s">
        <v>22</v>
      </c>
      <c r="G57" t="s">
        <v>63</v>
      </c>
      <c r="H57">
        <f>D68</f>
        <v>7.9100000000000004E-2</v>
      </c>
      <c r="I57" t="s">
        <v>126</v>
      </c>
      <c r="J57" s="37"/>
      <c r="K57" s="94"/>
    </row>
    <row r="58" spans="1:11" x14ac:dyDescent="0.35">
      <c r="A58" s="71" t="s">
        <v>12</v>
      </c>
      <c r="B58">
        <v>21.7</v>
      </c>
      <c r="D58">
        <f t="shared" si="3"/>
        <v>1.5190000000000001</v>
      </c>
      <c r="F58" s="83" t="s">
        <v>6</v>
      </c>
      <c r="G58">
        <v>0</v>
      </c>
      <c r="H58">
        <f>D52</f>
        <v>9.5200000000000024E-3</v>
      </c>
      <c r="J58" s="37"/>
      <c r="K58" s="94"/>
    </row>
    <row r="59" spans="1:11" x14ac:dyDescent="0.35">
      <c r="A59" s="71" t="s">
        <v>13</v>
      </c>
      <c r="B59">
        <v>63.7</v>
      </c>
      <c r="D59">
        <f t="shared" si="3"/>
        <v>4.4590000000000005</v>
      </c>
      <c r="F59" s="83" t="s">
        <v>7</v>
      </c>
      <c r="G59">
        <v>0</v>
      </c>
      <c r="H59">
        <f>D53</f>
        <v>2.1700000000000001E-3</v>
      </c>
      <c r="J59" s="37"/>
      <c r="K59" s="94"/>
    </row>
    <row r="60" spans="1:11" x14ac:dyDescent="0.35">
      <c r="A60" s="71" t="s">
        <v>14</v>
      </c>
      <c r="D60">
        <f t="shared" si="3"/>
        <v>0</v>
      </c>
      <c r="F60" s="83" t="s">
        <v>8</v>
      </c>
      <c r="G60">
        <v>0</v>
      </c>
      <c r="H60">
        <f>D54</f>
        <v>4.9000000000000009E-4</v>
      </c>
      <c r="J60" s="37"/>
      <c r="K60" s="94"/>
    </row>
    <row r="61" spans="1:11" x14ac:dyDescent="0.35">
      <c r="A61" s="71" t="s">
        <v>15</v>
      </c>
      <c r="B61">
        <v>20.7</v>
      </c>
      <c r="C61" t="s">
        <v>166</v>
      </c>
      <c r="D61">
        <f>B61*7</f>
        <v>144.9</v>
      </c>
      <c r="E61" t="s">
        <v>132</v>
      </c>
      <c r="F61" s="83" t="s">
        <v>9</v>
      </c>
      <c r="G61">
        <v>0</v>
      </c>
      <c r="H61">
        <f>D55</f>
        <v>7.0000000000000007E-2</v>
      </c>
      <c r="I61" t="s">
        <v>132</v>
      </c>
      <c r="J61" s="37">
        <f>H61/1000</f>
        <v>7.0000000000000007E-5</v>
      </c>
      <c r="K61" s="94" t="s">
        <v>130</v>
      </c>
    </row>
    <row r="62" spans="1:11" x14ac:dyDescent="0.35">
      <c r="A62" s="71" t="s">
        <v>16</v>
      </c>
      <c r="B62">
        <v>2630</v>
      </c>
      <c r="C62" t="s">
        <v>166</v>
      </c>
      <c r="D62">
        <f>B62*7</f>
        <v>18410</v>
      </c>
      <c r="E62" t="s">
        <v>132</v>
      </c>
      <c r="F62" s="83" t="s">
        <v>43</v>
      </c>
      <c r="G62" t="s">
        <v>66</v>
      </c>
      <c r="H62">
        <f>D50</f>
        <v>21.560000000000002</v>
      </c>
      <c r="J62" s="37"/>
      <c r="K62" s="94"/>
    </row>
    <row r="63" spans="1:11" x14ac:dyDescent="0.35">
      <c r="A63" s="71" t="s">
        <v>17</v>
      </c>
      <c r="B63">
        <v>214</v>
      </c>
      <c r="C63" t="s">
        <v>166</v>
      </c>
      <c r="D63">
        <f>B63*7</f>
        <v>1498</v>
      </c>
      <c r="E63" t="s">
        <v>132</v>
      </c>
      <c r="F63" s="83" t="s">
        <v>5</v>
      </c>
      <c r="G63">
        <v>0</v>
      </c>
      <c r="H63">
        <f>D51</f>
        <v>8.5400000000000004E-2</v>
      </c>
      <c r="J63" s="37"/>
      <c r="K63" s="94"/>
    </row>
    <row r="64" spans="1:11" x14ac:dyDescent="0.35">
      <c r="A64" s="71" t="s">
        <v>18</v>
      </c>
      <c r="B64">
        <v>498</v>
      </c>
      <c r="C64" t="s">
        <v>166</v>
      </c>
      <c r="D64">
        <f t="shared" si="3"/>
        <v>34.860000000000007</v>
      </c>
      <c r="E64" t="s">
        <v>132</v>
      </c>
      <c r="F64" s="83" t="s">
        <v>13</v>
      </c>
      <c r="G64">
        <v>0</v>
      </c>
      <c r="H64">
        <f>D59</f>
        <v>4.4590000000000005</v>
      </c>
      <c r="J64" s="37"/>
      <c r="K64" s="94"/>
    </row>
    <row r="65" spans="1:11" x14ac:dyDescent="0.35">
      <c r="A65" s="71" t="s">
        <v>19</v>
      </c>
      <c r="D65">
        <f t="shared" si="3"/>
        <v>0</v>
      </c>
      <c r="F65" s="83" t="s">
        <v>14</v>
      </c>
      <c r="G65">
        <v>0</v>
      </c>
      <c r="H65">
        <f>H64</f>
        <v>4.4590000000000005</v>
      </c>
      <c r="J65" s="37"/>
      <c r="K65" s="94"/>
    </row>
    <row r="66" spans="1:11" ht="15" thickBot="1" x14ac:dyDescent="0.4">
      <c r="A66" s="71" t="s">
        <v>20</v>
      </c>
      <c r="D66">
        <f t="shared" si="3"/>
        <v>0</v>
      </c>
      <c r="F66" s="109" t="s">
        <v>17</v>
      </c>
      <c r="G66" s="110">
        <v>0</v>
      </c>
      <c r="H66" s="110">
        <f>D63</f>
        <v>1498</v>
      </c>
      <c r="I66" s="110" t="s">
        <v>132</v>
      </c>
      <c r="J66" s="111">
        <f>H66/1000</f>
        <v>1.498</v>
      </c>
      <c r="K66" s="112" t="s">
        <v>130</v>
      </c>
    </row>
    <row r="67" spans="1:11" x14ac:dyDescent="0.35">
      <c r="A67" s="71" t="s">
        <v>21</v>
      </c>
      <c r="B67">
        <v>0</v>
      </c>
      <c r="D67">
        <f t="shared" si="3"/>
        <v>0</v>
      </c>
    </row>
    <row r="68" spans="1:11" x14ac:dyDescent="0.35">
      <c r="A68" s="71" t="s">
        <v>22</v>
      </c>
      <c r="B68">
        <v>1.1299999999999999</v>
      </c>
      <c r="D68">
        <f t="shared" si="3"/>
        <v>7.9100000000000004E-2</v>
      </c>
      <c r="F68" t="s">
        <v>127</v>
      </c>
    </row>
    <row r="69" spans="1:11" x14ac:dyDescent="0.35">
      <c r="F69" t="s">
        <v>101</v>
      </c>
    </row>
    <row r="70" spans="1:11" x14ac:dyDescent="0.35">
      <c r="F70" t="s">
        <v>102</v>
      </c>
    </row>
    <row r="71" spans="1:11" x14ac:dyDescent="0.35">
      <c r="F71" t="s">
        <v>103</v>
      </c>
      <c r="G71" t="s">
        <v>66</v>
      </c>
    </row>
  </sheetData>
  <mergeCells count="6">
    <mergeCell ref="A37:A42"/>
    <mergeCell ref="A5:A7"/>
    <mergeCell ref="A9:A14"/>
    <mergeCell ref="A16:A21"/>
    <mergeCell ref="A23:A28"/>
    <mergeCell ref="A30:A35"/>
  </mergeCells>
  <pageMargins left="0.7" right="0.7" top="0.75" bottom="0.75" header="0.3" footer="0.3"/>
  <pageSetup orientation="portrait" r:id="rId1"/>
  <headerFooter>
    <oddHeader>&amp;R&amp;"Calibri"&amp;10&amp;K000000Highly Restricted&amp;1#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451EC-1F55-4AD5-833C-FEF0523490C4}">
  <dimension ref="A1:AE34"/>
  <sheetViews>
    <sheetView topLeftCell="B1" zoomScaleNormal="100" workbookViewId="0">
      <selection activeCell="G10" sqref="G10"/>
    </sheetView>
  </sheetViews>
  <sheetFormatPr defaultRowHeight="14.5" x14ac:dyDescent="0.35"/>
  <cols>
    <col min="1" max="1" width="3" bestFit="1" customWidth="1"/>
    <col min="2" max="2" width="20.1796875" bestFit="1" customWidth="1"/>
    <col min="3" max="3" width="13.1796875" bestFit="1" customWidth="1"/>
    <col min="4" max="4" width="16.453125" bestFit="1" customWidth="1"/>
    <col min="5" max="6" width="12.6328125" customWidth="1"/>
    <col min="7" max="23" width="12.6328125" style="66" customWidth="1"/>
  </cols>
  <sheetData>
    <row r="1" spans="1:31" s="44" customFormat="1" x14ac:dyDescent="0.35">
      <c r="B1" s="45" t="s">
        <v>88</v>
      </c>
      <c r="C1" s="46">
        <v>46078</v>
      </c>
      <c r="D1" s="47" t="s">
        <v>89</v>
      </c>
      <c r="E1" s="45" t="s">
        <v>90</v>
      </c>
      <c r="F1" s="47" t="s">
        <v>91</v>
      </c>
      <c r="G1" s="64" t="s">
        <v>92</v>
      </c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</row>
    <row r="2" spans="1:31" x14ac:dyDescent="0.35">
      <c r="B2" t="s">
        <v>35</v>
      </c>
      <c r="AC2" s="17"/>
      <c r="AD2" s="137" t="s">
        <v>245</v>
      </c>
      <c r="AE2" s="137" t="s">
        <v>247</v>
      </c>
    </row>
    <row r="3" spans="1:31" ht="22" x14ac:dyDescent="0.35">
      <c r="B3" s="13" t="s">
        <v>36</v>
      </c>
      <c r="AC3" s="138" t="s">
        <v>246</v>
      </c>
      <c r="AD3" s="135">
        <v>5</v>
      </c>
      <c r="AE3" s="135">
        <v>10</v>
      </c>
    </row>
    <row r="4" spans="1:31" ht="32.5" x14ac:dyDescent="0.35">
      <c r="B4" t="s">
        <v>37</v>
      </c>
      <c r="D4" s="37"/>
      <c r="AC4" s="138" t="s">
        <v>256</v>
      </c>
      <c r="AD4" s="135" t="s">
        <v>248</v>
      </c>
      <c r="AE4" s="135" t="s">
        <v>249</v>
      </c>
    </row>
    <row r="5" spans="1:31" x14ac:dyDescent="0.35">
      <c r="B5" t="s">
        <v>38</v>
      </c>
      <c r="C5" t="s">
        <v>3</v>
      </c>
      <c r="D5" s="13" t="s">
        <v>234</v>
      </c>
      <c r="E5" s="37"/>
      <c r="AC5" s="138"/>
      <c r="AD5" s="137" t="s">
        <v>245</v>
      </c>
      <c r="AE5" s="137" t="s">
        <v>247</v>
      </c>
    </row>
    <row r="6" spans="1:31" ht="22.5" thickBot="1" x14ac:dyDescent="0.4">
      <c r="B6" s="13" t="s">
        <v>235</v>
      </c>
      <c r="C6" s="13">
        <v>6</v>
      </c>
      <c r="D6">
        <f>C6*2</f>
        <v>12</v>
      </c>
      <c r="AC6" s="138" t="s">
        <v>246</v>
      </c>
      <c r="AD6" s="135">
        <v>5.4</v>
      </c>
      <c r="AE6" s="135">
        <v>10.7</v>
      </c>
    </row>
    <row r="7" spans="1:31" ht="33" thickBot="1" x14ac:dyDescent="0.4">
      <c r="B7" s="62" t="s">
        <v>114</v>
      </c>
      <c r="C7" s="63">
        <v>5.5</v>
      </c>
      <c r="E7" t="s">
        <v>113</v>
      </c>
      <c r="F7" s="9" t="s">
        <v>5</v>
      </c>
      <c r="G7" s="71" t="s">
        <v>6</v>
      </c>
      <c r="H7" s="71" t="s">
        <v>7</v>
      </c>
      <c r="I7" s="71" t="s">
        <v>8</v>
      </c>
      <c r="J7" s="71" t="s">
        <v>9</v>
      </c>
      <c r="K7" s="71" t="s">
        <v>10</v>
      </c>
      <c r="L7" s="71" t="s">
        <v>11</v>
      </c>
      <c r="M7" s="71" t="s">
        <v>12</v>
      </c>
      <c r="N7" s="71" t="s">
        <v>13</v>
      </c>
      <c r="O7" s="71" t="s">
        <v>14</v>
      </c>
      <c r="P7" s="71" t="s">
        <v>15</v>
      </c>
      <c r="Q7" s="71" t="s">
        <v>16</v>
      </c>
      <c r="R7" s="71" t="s">
        <v>17</v>
      </c>
      <c r="S7" s="71" t="s">
        <v>18</v>
      </c>
      <c r="T7" s="71" t="s">
        <v>19</v>
      </c>
      <c r="U7" s="71" t="s">
        <v>20</v>
      </c>
      <c r="V7" s="71" t="s">
        <v>21</v>
      </c>
      <c r="W7" s="71" t="s">
        <v>22</v>
      </c>
      <c r="AC7" s="138" t="s">
        <v>256</v>
      </c>
      <c r="AD7" s="136" t="s">
        <v>254</v>
      </c>
      <c r="AE7" s="135" t="s">
        <v>255</v>
      </c>
    </row>
    <row r="8" spans="1:31" ht="27" customHeight="1" x14ac:dyDescent="0.35">
      <c r="B8" s="10" t="s">
        <v>39</v>
      </c>
      <c r="C8" s="11">
        <f>SUM(C14:C34)</f>
        <v>1</v>
      </c>
      <c r="D8" s="16">
        <f>SUM(D14:D21)</f>
        <v>5.5</v>
      </c>
      <c r="E8" s="76">
        <f>SUM(E14:E34)</f>
        <v>19.844000000000001</v>
      </c>
      <c r="F8" s="76">
        <f>SUM(F14:F34)</f>
        <v>0.23771</v>
      </c>
      <c r="G8" s="67">
        <f t="shared" ref="G8:W8" si="0">SUM(G14:G34)</f>
        <v>5.5549999999999995E-2</v>
      </c>
      <c r="H8" s="67">
        <f t="shared" si="0"/>
        <v>9.130000000000001E-3</v>
      </c>
      <c r="I8" s="67">
        <f t="shared" si="0"/>
        <v>0</v>
      </c>
      <c r="J8" s="68">
        <f>SUM(J14:J34)</f>
        <v>0</v>
      </c>
      <c r="K8" s="67">
        <f t="shared" si="0"/>
        <v>4.7850000000000001</v>
      </c>
      <c r="L8" s="67">
        <f t="shared" si="0"/>
        <v>4.609</v>
      </c>
      <c r="M8" s="67">
        <f t="shared" si="0"/>
        <v>3.8774999999999999</v>
      </c>
      <c r="N8" s="67">
        <f t="shared" si="0"/>
        <v>5.5000000000000005E-3</v>
      </c>
      <c r="O8" s="67">
        <f>SUM(O14:O34)</f>
        <v>0</v>
      </c>
      <c r="P8" s="73">
        <f t="shared" si="0"/>
        <v>0.42899999999999999</v>
      </c>
      <c r="Q8" s="73">
        <f t="shared" si="0"/>
        <v>46.585000000000001</v>
      </c>
      <c r="R8" s="73">
        <f t="shared" si="0"/>
        <v>3.8692499999999996</v>
      </c>
      <c r="S8" s="73">
        <f t="shared" si="0"/>
        <v>9.6343499999999995</v>
      </c>
      <c r="T8" s="69">
        <f t="shared" si="0"/>
        <v>0</v>
      </c>
      <c r="U8" s="68">
        <f t="shared" si="0"/>
        <v>0</v>
      </c>
      <c r="V8" s="70">
        <f t="shared" si="0"/>
        <v>0</v>
      </c>
      <c r="W8" s="67">
        <f t="shared" si="0"/>
        <v>0.115555</v>
      </c>
      <c r="AC8" s="138"/>
      <c r="AD8" s="137" t="s">
        <v>245</v>
      </c>
      <c r="AE8" s="137" t="s">
        <v>247</v>
      </c>
    </row>
    <row r="9" spans="1:31" ht="22" x14ac:dyDescent="0.35">
      <c r="E9" s="148" t="s">
        <v>40</v>
      </c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AC9" s="138" t="s">
        <v>246</v>
      </c>
      <c r="AD9" s="135">
        <v>6</v>
      </c>
      <c r="AE9" s="135">
        <v>12</v>
      </c>
    </row>
    <row r="10" spans="1:31" ht="32.5" x14ac:dyDescent="0.35">
      <c r="B10" t="s">
        <v>112</v>
      </c>
      <c r="C10" s="37">
        <v>2</v>
      </c>
      <c r="D10" s="61"/>
      <c r="E10" s="76">
        <f>E8*$C$10</f>
        <v>39.688000000000002</v>
      </c>
      <c r="F10" s="76">
        <f t="shared" ref="F10:W10" si="1">F8*$C$10</f>
        <v>0.47542000000000001</v>
      </c>
      <c r="G10" s="67">
        <f t="shared" si="1"/>
        <v>0.11109999999999999</v>
      </c>
      <c r="H10" s="67">
        <f t="shared" si="1"/>
        <v>1.8260000000000002E-2</v>
      </c>
      <c r="I10" s="67">
        <f t="shared" si="1"/>
        <v>0</v>
      </c>
      <c r="J10" s="68">
        <f t="shared" si="1"/>
        <v>0</v>
      </c>
      <c r="K10" s="67">
        <f t="shared" si="1"/>
        <v>9.57</v>
      </c>
      <c r="L10" s="67">
        <f t="shared" si="1"/>
        <v>9.218</v>
      </c>
      <c r="M10" s="67">
        <f t="shared" si="1"/>
        <v>7.7549999999999999</v>
      </c>
      <c r="N10" s="67">
        <f t="shared" si="1"/>
        <v>1.1000000000000001E-2</v>
      </c>
      <c r="O10" s="67">
        <f t="shared" si="1"/>
        <v>0</v>
      </c>
      <c r="P10" s="73">
        <f t="shared" si="1"/>
        <v>0.85799999999999998</v>
      </c>
      <c r="Q10" s="73">
        <f t="shared" si="1"/>
        <v>93.17</v>
      </c>
      <c r="R10" s="73">
        <f t="shared" si="1"/>
        <v>7.7384999999999993</v>
      </c>
      <c r="S10" s="73">
        <f t="shared" si="1"/>
        <v>19.268699999999999</v>
      </c>
      <c r="T10" s="69">
        <f t="shared" si="1"/>
        <v>0</v>
      </c>
      <c r="U10" s="68">
        <f t="shared" si="1"/>
        <v>0</v>
      </c>
      <c r="V10" s="70">
        <f t="shared" si="1"/>
        <v>0</v>
      </c>
      <c r="W10" s="67">
        <f t="shared" si="1"/>
        <v>0.23111000000000001</v>
      </c>
      <c r="AC10" s="138" t="s">
        <v>256</v>
      </c>
      <c r="AD10" s="136" t="s">
        <v>250</v>
      </c>
      <c r="AE10" s="135" t="s">
        <v>251</v>
      </c>
    </row>
    <row r="11" spans="1:31" x14ac:dyDescent="0.35">
      <c r="D11" s="38"/>
      <c r="AC11" s="138"/>
      <c r="AD11" s="137" t="s">
        <v>245</v>
      </c>
      <c r="AE11" s="137" t="s">
        <v>247</v>
      </c>
    </row>
    <row r="12" spans="1:31" ht="22" x14ac:dyDescent="0.35">
      <c r="C12" s="100">
        <f>SUM(C14:C34)</f>
        <v>1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AC12" s="138" t="s">
        <v>246</v>
      </c>
      <c r="AD12" s="135">
        <v>6.8</v>
      </c>
      <c r="AE12" s="135">
        <f>AD12*2</f>
        <v>13.6</v>
      </c>
    </row>
    <row r="13" spans="1:31" s="9" customFormat="1" ht="32.5" x14ac:dyDescent="0.35">
      <c r="B13" s="9" t="s">
        <v>0</v>
      </c>
      <c r="C13" s="9" t="s">
        <v>41</v>
      </c>
      <c r="D13" s="9" t="s">
        <v>42</v>
      </c>
      <c r="E13" s="9" t="s">
        <v>43</v>
      </c>
      <c r="F13" s="9" t="s">
        <v>5</v>
      </c>
      <c r="G13" s="71" t="s">
        <v>6</v>
      </c>
      <c r="H13" s="71" t="s">
        <v>7</v>
      </c>
      <c r="I13" s="71" t="s">
        <v>8</v>
      </c>
      <c r="J13" s="71" t="s">
        <v>9</v>
      </c>
      <c r="K13" s="71" t="s">
        <v>10</v>
      </c>
      <c r="L13" s="71" t="s">
        <v>11</v>
      </c>
      <c r="M13" s="71" t="s">
        <v>12</v>
      </c>
      <c r="N13" s="71" t="s">
        <v>13</v>
      </c>
      <c r="O13" s="71" t="s">
        <v>14</v>
      </c>
      <c r="P13" s="71" t="s">
        <v>15</v>
      </c>
      <c r="Q13" s="71" t="s">
        <v>16</v>
      </c>
      <c r="R13" s="71" t="s">
        <v>17</v>
      </c>
      <c r="S13" s="71" t="s">
        <v>18</v>
      </c>
      <c r="T13" s="71" t="s">
        <v>19</v>
      </c>
      <c r="U13" s="71" t="s">
        <v>20</v>
      </c>
      <c r="V13" s="71" t="s">
        <v>21</v>
      </c>
      <c r="W13" s="71" t="s">
        <v>22</v>
      </c>
      <c r="AC13" s="138" t="s">
        <v>256</v>
      </c>
      <c r="AD13" s="136" t="s">
        <v>252</v>
      </c>
      <c r="AE13" s="135" t="s">
        <v>253</v>
      </c>
    </row>
    <row r="14" spans="1:31" x14ac:dyDescent="0.35">
      <c r="A14">
        <v>1</v>
      </c>
      <c r="B14" s="14" t="s">
        <v>23</v>
      </c>
      <c r="C14" s="12">
        <v>1</v>
      </c>
      <c r="D14" s="17">
        <f>C14*$C$7</f>
        <v>5.5</v>
      </c>
      <c r="E14" s="76">
        <f>VLOOKUP($B14,Ingredients!$A:$W,5,FALSE)*$D14/100</f>
        <v>19.844000000000001</v>
      </c>
      <c r="F14" s="76">
        <f>VLOOKUP($B14,Ingredients!$A:$W,6,FALSE)*$D14/100</f>
        <v>0.23771</v>
      </c>
      <c r="G14" s="67">
        <f>VLOOKUP($B14,Ingredients!$A:$W,7,FALSE)*$D14/100</f>
        <v>5.5549999999999995E-2</v>
      </c>
      <c r="H14" s="67">
        <f>VLOOKUP($B14,Ingredients!$A:$W,8,FALSE)*$D14/100</f>
        <v>9.130000000000001E-3</v>
      </c>
      <c r="I14" s="67">
        <f>VLOOKUP($B14,Ingredients!$A:$W,9,FALSE)*$D14/100</f>
        <v>0</v>
      </c>
      <c r="J14" s="68">
        <f>VLOOKUP($B14,Ingredients!$A:$W,10,FALSE)*$D14/100</f>
        <v>0</v>
      </c>
      <c r="K14" s="67">
        <f>VLOOKUP($B14,Ingredients!$A:$W,11,FALSE)*$D14/100</f>
        <v>4.7850000000000001</v>
      </c>
      <c r="L14" s="67">
        <f>VLOOKUP($B14,Ingredients!$A:$W,12,FALSE)*$D14/100</f>
        <v>4.609</v>
      </c>
      <c r="M14" s="67">
        <f>VLOOKUP($B14,Ingredients!$A:$W,13,FALSE)*$D14/100</f>
        <v>3.8774999999999999</v>
      </c>
      <c r="N14" s="67">
        <f>VLOOKUP($B14,Ingredients!$A:$W,14,FALSE)*$D14/100</f>
        <v>5.5000000000000005E-3</v>
      </c>
      <c r="O14" s="67">
        <f>VLOOKUP($B14,Ingredients!$A:$W,15,FALSE)*$D14/100</f>
        <v>0</v>
      </c>
      <c r="P14" s="73">
        <f>VLOOKUP($B14,Ingredients!$A:$W,16,FALSE)*$D14/100</f>
        <v>0.42899999999999999</v>
      </c>
      <c r="Q14" s="73">
        <f>VLOOKUP($B14,Ingredients!$A:$W,17,FALSE)*$D14/100</f>
        <v>46.585000000000001</v>
      </c>
      <c r="R14" s="73">
        <f>VLOOKUP($B14,Ingredients!$A:$W,18,FALSE)*$D14/100</f>
        <v>3.8692499999999996</v>
      </c>
      <c r="S14" s="73">
        <f>VLOOKUP($B14,Ingredients!$A:$W,19,FALSE)*$D14/100</f>
        <v>9.6343499999999995</v>
      </c>
      <c r="T14" s="69">
        <f>VLOOKUP($B14,Ingredients!$A:$W,20,FALSE)*$D14/100</f>
        <v>0</v>
      </c>
      <c r="U14" s="68">
        <f>VLOOKUP($B14,Ingredients!$A:$W,21,FALSE)*$D14/100</f>
        <v>0</v>
      </c>
      <c r="V14" s="70">
        <f>VLOOKUP($B14,Ingredients!$A:$W,22,FALSE)*$D14/100</f>
        <v>0</v>
      </c>
      <c r="W14" s="67">
        <f>VLOOKUP($B14,Ingredients!$A:$W,23,FALSE)*$D14/100</f>
        <v>0.115555</v>
      </c>
    </row>
    <row r="15" spans="1:31" x14ac:dyDescent="0.35">
      <c r="A15">
        <v>2</v>
      </c>
      <c r="B15" s="14"/>
      <c r="C15" s="12"/>
      <c r="D15" s="17"/>
      <c r="E15" s="76"/>
      <c r="F15" s="76"/>
      <c r="G15" s="67"/>
      <c r="H15" s="67"/>
      <c r="I15" s="67"/>
      <c r="J15" s="68"/>
      <c r="K15" s="67"/>
      <c r="L15" s="67"/>
      <c r="M15" s="67"/>
      <c r="N15" s="67"/>
      <c r="O15" s="67"/>
      <c r="P15" s="73"/>
      <c r="Q15" s="73"/>
      <c r="R15" s="73"/>
      <c r="S15" s="73"/>
      <c r="T15" s="69"/>
      <c r="U15" s="68"/>
      <c r="V15" s="70"/>
      <c r="W15" s="67"/>
    </row>
    <row r="16" spans="1:31" x14ac:dyDescent="0.35">
      <c r="A16">
        <v>3</v>
      </c>
      <c r="B16" s="14"/>
      <c r="C16" s="12"/>
      <c r="D16" s="17"/>
      <c r="E16" s="76"/>
      <c r="F16" s="76"/>
      <c r="G16" s="67"/>
      <c r="H16" s="67"/>
      <c r="I16" s="67"/>
      <c r="J16" s="68"/>
      <c r="K16" s="67"/>
      <c r="L16" s="67"/>
      <c r="M16" s="67"/>
      <c r="N16" s="67"/>
      <c r="O16" s="67"/>
      <c r="P16" s="73"/>
      <c r="Q16" s="73"/>
      <c r="R16" s="73"/>
      <c r="S16" s="73"/>
      <c r="T16" s="69"/>
      <c r="U16" s="68"/>
      <c r="V16" s="70"/>
      <c r="W16" s="67"/>
    </row>
    <row r="17" spans="1:23" x14ac:dyDescent="0.35">
      <c r="A17">
        <v>4</v>
      </c>
      <c r="B17" s="14"/>
      <c r="C17" s="35"/>
      <c r="D17" s="17"/>
      <c r="E17" s="76"/>
      <c r="F17" s="76"/>
      <c r="G17" s="67"/>
      <c r="H17" s="67"/>
      <c r="I17" s="67"/>
      <c r="J17" s="68"/>
      <c r="K17" s="67"/>
      <c r="L17" s="67"/>
      <c r="M17" s="67"/>
      <c r="N17" s="67"/>
      <c r="O17" s="67"/>
      <c r="P17" s="73"/>
      <c r="Q17" s="73"/>
      <c r="R17" s="73"/>
      <c r="S17" s="73"/>
      <c r="T17" s="69"/>
      <c r="U17" s="68"/>
      <c r="V17" s="70"/>
      <c r="W17" s="67"/>
    </row>
    <row r="18" spans="1:23" ht="16.399999999999999" customHeight="1" x14ac:dyDescent="0.35">
      <c r="A18">
        <v>5</v>
      </c>
      <c r="B18" s="14"/>
      <c r="C18" s="35"/>
      <c r="D18" s="17"/>
      <c r="E18" s="137"/>
      <c r="F18" s="137"/>
      <c r="G18" s="67"/>
      <c r="H18" s="67"/>
      <c r="I18" s="67"/>
      <c r="J18" s="68"/>
      <c r="K18" s="67"/>
      <c r="L18" s="67"/>
      <c r="M18" s="67"/>
      <c r="N18" s="67"/>
      <c r="O18" s="67"/>
      <c r="P18" s="73"/>
      <c r="Q18" s="73"/>
      <c r="R18" s="73"/>
      <c r="S18" s="73"/>
      <c r="T18" s="69"/>
      <c r="U18" s="68"/>
      <c r="V18" s="70"/>
      <c r="W18" s="67"/>
    </row>
    <row r="19" spans="1:23" x14ac:dyDescent="0.35">
      <c r="A19">
        <v>6</v>
      </c>
      <c r="B19" s="14"/>
      <c r="C19" s="35"/>
      <c r="D19" s="138"/>
      <c r="E19" s="135"/>
      <c r="F19" s="135"/>
      <c r="G19" s="67"/>
      <c r="H19" s="67"/>
      <c r="I19" s="67"/>
      <c r="J19" s="68"/>
      <c r="K19" s="67"/>
      <c r="L19" s="67"/>
      <c r="M19" s="67"/>
      <c r="N19" s="67"/>
      <c r="O19" s="67"/>
      <c r="P19" s="73"/>
      <c r="Q19" s="73"/>
      <c r="R19" s="73"/>
      <c r="S19" s="73"/>
      <c r="T19" s="69"/>
      <c r="U19" s="68"/>
      <c r="V19" s="70"/>
      <c r="W19" s="67"/>
    </row>
    <row r="20" spans="1:23" x14ac:dyDescent="0.35">
      <c r="A20">
        <v>7</v>
      </c>
      <c r="B20" s="14"/>
      <c r="C20" s="35"/>
      <c r="D20" s="138"/>
      <c r="E20" s="135"/>
      <c r="F20" s="135"/>
      <c r="G20" s="67"/>
      <c r="H20" s="67"/>
      <c r="I20" s="67"/>
      <c r="J20" s="68"/>
      <c r="K20" s="67"/>
      <c r="L20" s="67"/>
      <c r="M20" s="67"/>
      <c r="N20" s="67"/>
      <c r="O20" s="67"/>
      <c r="P20" s="73"/>
      <c r="Q20" s="73"/>
      <c r="R20" s="73"/>
      <c r="S20" s="73"/>
      <c r="T20" s="69"/>
      <c r="U20" s="68"/>
      <c r="V20" s="70"/>
      <c r="W20" s="67"/>
    </row>
    <row r="21" spans="1:23" x14ac:dyDescent="0.35">
      <c r="A21">
        <v>8</v>
      </c>
      <c r="B21" s="14"/>
      <c r="C21" s="35"/>
      <c r="D21" s="138"/>
      <c r="E21" s="137"/>
      <c r="F21" s="137"/>
      <c r="G21" s="67"/>
      <c r="H21" s="67"/>
      <c r="I21" s="67"/>
      <c r="J21" s="68"/>
      <c r="K21" s="67"/>
      <c r="L21" s="67"/>
      <c r="M21" s="67"/>
      <c r="N21" s="67"/>
      <c r="O21" s="67"/>
      <c r="P21" s="73"/>
      <c r="Q21" s="73"/>
      <c r="R21" s="73"/>
      <c r="S21" s="73"/>
      <c r="T21" s="69"/>
      <c r="U21" s="68"/>
      <c r="V21" s="70"/>
      <c r="W21" s="67"/>
    </row>
    <row r="22" spans="1:23" x14ac:dyDescent="0.35">
      <c r="A22">
        <v>9</v>
      </c>
      <c r="B22" s="14"/>
      <c r="C22" s="35"/>
      <c r="D22" s="138"/>
      <c r="E22" s="135"/>
      <c r="F22" s="135"/>
      <c r="G22" s="67"/>
      <c r="H22" s="67"/>
      <c r="I22" s="67"/>
      <c r="J22" s="68"/>
      <c r="K22" s="67"/>
      <c r="L22" s="67"/>
      <c r="M22" s="67"/>
      <c r="N22" s="67"/>
      <c r="O22" s="67"/>
      <c r="P22" s="73"/>
      <c r="Q22" s="73"/>
      <c r="R22" s="73"/>
      <c r="S22" s="73"/>
      <c r="T22" s="69"/>
      <c r="U22" s="68"/>
      <c r="V22" s="70"/>
      <c r="W22" s="67"/>
    </row>
    <row r="23" spans="1:23" x14ac:dyDescent="0.35">
      <c r="A23">
        <v>10</v>
      </c>
      <c r="B23" s="14"/>
      <c r="C23" s="13"/>
      <c r="D23" s="138"/>
      <c r="E23" s="136"/>
      <c r="F23" s="135"/>
      <c r="G23" s="67"/>
      <c r="H23" s="67"/>
      <c r="I23" s="67"/>
      <c r="J23" s="68"/>
      <c r="K23" s="67"/>
      <c r="L23" s="67"/>
      <c r="M23" s="67"/>
      <c r="N23" s="67"/>
      <c r="O23" s="67"/>
      <c r="P23" s="73"/>
      <c r="Q23" s="73"/>
      <c r="R23" s="73"/>
      <c r="S23" s="73"/>
      <c r="T23" s="69"/>
      <c r="U23" s="68"/>
      <c r="V23" s="70"/>
      <c r="W23" s="67"/>
    </row>
    <row r="24" spans="1:23" x14ac:dyDescent="0.35">
      <c r="A24">
        <v>11</v>
      </c>
      <c r="B24" s="14"/>
      <c r="C24" s="13"/>
      <c r="D24" s="138"/>
      <c r="E24" s="137"/>
      <c r="F24" s="137"/>
      <c r="G24" s="67"/>
      <c r="H24" s="67"/>
      <c r="I24" s="67"/>
      <c r="J24" s="68"/>
      <c r="K24" s="67"/>
      <c r="L24" s="67"/>
      <c r="M24" s="67"/>
      <c r="N24" s="67"/>
      <c r="O24" s="67"/>
      <c r="P24" s="73"/>
      <c r="Q24" s="73"/>
      <c r="R24" s="73"/>
      <c r="S24" s="73"/>
      <c r="T24" s="69"/>
      <c r="U24" s="68"/>
      <c r="V24" s="70"/>
      <c r="W24" s="67"/>
    </row>
    <row r="25" spans="1:23" x14ac:dyDescent="0.35">
      <c r="A25">
        <v>12</v>
      </c>
      <c r="B25" s="14"/>
      <c r="C25" s="13"/>
      <c r="D25" s="138"/>
      <c r="E25" s="135"/>
      <c r="F25" s="135"/>
      <c r="G25" s="67"/>
      <c r="H25" s="67"/>
      <c r="I25" s="67"/>
      <c r="J25" s="68"/>
      <c r="K25" s="67"/>
      <c r="L25" s="67"/>
      <c r="M25" s="67"/>
      <c r="N25" s="67"/>
      <c r="O25" s="67"/>
      <c r="P25" s="73"/>
      <c r="Q25" s="73"/>
      <c r="R25" s="73"/>
      <c r="S25" s="73"/>
      <c r="T25" s="69"/>
      <c r="U25" s="68"/>
      <c r="V25" s="70"/>
      <c r="W25" s="67"/>
    </row>
    <row r="26" spans="1:23" x14ac:dyDescent="0.35">
      <c r="A26">
        <v>13</v>
      </c>
      <c r="B26" s="14"/>
      <c r="C26" s="13"/>
      <c r="D26" s="138"/>
      <c r="E26" s="136"/>
      <c r="F26" s="135"/>
      <c r="G26" s="67"/>
      <c r="H26" s="67"/>
      <c r="I26" s="67"/>
      <c r="J26" s="68"/>
      <c r="K26" s="67"/>
      <c r="L26" s="67"/>
      <c r="M26" s="67"/>
      <c r="N26" s="67"/>
      <c r="O26" s="67"/>
      <c r="P26" s="73"/>
      <c r="Q26" s="73"/>
      <c r="R26" s="73"/>
      <c r="S26" s="73"/>
      <c r="T26" s="69"/>
      <c r="U26" s="68"/>
      <c r="V26" s="70"/>
      <c r="W26" s="67"/>
    </row>
    <row r="27" spans="1:23" x14ac:dyDescent="0.35">
      <c r="A27">
        <v>14</v>
      </c>
      <c r="B27" s="14"/>
      <c r="C27" s="13"/>
      <c r="D27" s="138"/>
      <c r="E27" s="137"/>
      <c r="F27" s="137"/>
      <c r="G27" s="67"/>
      <c r="H27" s="67"/>
      <c r="I27" s="67"/>
      <c r="J27" s="68"/>
      <c r="K27" s="67"/>
      <c r="L27" s="67"/>
      <c r="M27" s="67"/>
      <c r="N27" s="67"/>
      <c r="O27" s="67"/>
      <c r="P27" s="73"/>
      <c r="Q27" s="73"/>
      <c r="R27" s="73"/>
      <c r="S27" s="73"/>
      <c r="T27" s="69"/>
      <c r="U27" s="68"/>
      <c r="V27" s="70"/>
      <c r="W27" s="67"/>
    </row>
    <row r="28" spans="1:23" x14ac:dyDescent="0.35">
      <c r="A28">
        <v>15</v>
      </c>
      <c r="B28" s="14"/>
      <c r="C28" s="13"/>
      <c r="D28" s="138"/>
      <c r="E28" s="135"/>
      <c r="F28" s="135"/>
      <c r="G28" s="67"/>
      <c r="H28" s="67"/>
      <c r="I28" s="67"/>
      <c r="J28" s="68"/>
      <c r="K28" s="67"/>
      <c r="L28" s="67"/>
      <c r="M28" s="67"/>
      <c r="N28" s="67"/>
      <c r="O28" s="67"/>
      <c r="P28" s="73"/>
      <c r="Q28" s="73"/>
      <c r="R28" s="73"/>
      <c r="S28" s="73"/>
      <c r="T28" s="69"/>
      <c r="U28" s="68"/>
      <c r="V28" s="70"/>
      <c r="W28" s="67"/>
    </row>
    <row r="29" spans="1:23" x14ac:dyDescent="0.35">
      <c r="A29">
        <v>16</v>
      </c>
      <c r="B29" s="14"/>
      <c r="C29" s="13"/>
      <c r="D29" s="138"/>
      <c r="E29" s="136"/>
      <c r="F29" s="135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</row>
    <row r="30" spans="1:23" x14ac:dyDescent="0.35">
      <c r="A30">
        <v>17</v>
      </c>
      <c r="B30" s="14"/>
      <c r="C30" s="13"/>
      <c r="D30" s="17"/>
      <c r="E30" s="15"/>
      <c r="F30" s="15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</row>
    <row r="31" spans="1:23" x14ac:dyDescent="0.35">
      <c r="A31">
        <v>18</v>
      </c>
      <c r="B31" s="14"/>
      <c r="C31" s="13"/>
      <c r="D31" s="17"/>
      <c r="E31" s="15"/>
      <c r="F31" s="15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</row>
    <row r="32" spans="1:23" x14ac:dyDescent="0.35">
      <c r="A32">
        <v>19</v>
      </c>
      <c r="B32" s="14"/>
      <c r="C32" s="13"/>
      <c r="D32" s="17"/>
      <c r="E32" s="15"/>
      <c r="F32" s="15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</row>
    <row r="33" spans="1:23" x14ac:dyDescent="0.35">
      <c r="A33">
        <v>20</v>
      </c>
      <c r="B33" s="14"/>
      <c r="C33" s="13"/>
      <c r="D33" s="17"/>
      <c r="E33" s="15"/>
      <c r="F33" s="15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</row>
    <row r="34" spans="1:23" x14ac:dyDescent="0.35">
      <c r="A34">
        <v>21</v>
      </c>
      <c r="B34" s="14"/>
      <c r="C34" s="13"/>
      <c r="D34" s="17"/>
      <c r="E34" s="15"/>
      <c r="F34" s="15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</row>
  </sheetData>
  <mergeCells count="1">
    <mergeCell ref="E9:W9"/>
  </mergeCells>
  <pageMargins left="0.7" right="0.7" top="0.75" bottom="0.75" header="0.3" footer="0.3"/>
  <pageSetup orientation="portrait" r:id="rId1"/>
  <headerFooter>
    <oddHeader>&amp;R&amp;"Calibri"&amp;10&amp;K000000Highly Restricted&amp;1#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314C99-5180-489C-A8D7-27AFACA4E02A}">
          <x14:formula1>
            <xm:f>Ingredients!$A$3:$A$1048576</xm:f>
          </x14:formula1>
          <xm:sqref>B14:B34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B99AB-27AD-43FB-8204-E282388DEF6E}">
  <dimension ref="A1:K68"/>
  <sheetViews>
    <sheetView zoomScale="80" zoomScaleNormal="80" workbookViewId="0">
      <selection activeCell="G7" sqref="G7"/>
    </sheetView>
  </sheetViews>
  <sheetFormatPr defaultColWidth="9.1796875" defaultRowHeight="14.5" x14ac:dyDescent="0.35"/>
  <cols>
    <col min="1" max="1" width="17.453125" bestFit="1" customWidth="1"/>
    <col min="2" max="2" width="9.81640625" bestFit="1" customWidth="1"/>
    <col min="3" max="3" width="30.54296875" bestFit="1" customWidth="1"/>
    <col min="4" max="4" width="33" customWidth="1"/>
    <col min="5" max="5" width="31.54296875" bestFit="1" customWidth="1"/>
    <col min="6" max="6" width="26.453125" customWidth="1"/>
    <col min="7" max="7" width="27.1796875" customWidth="1"/>
    <col min="8" max="8" width="23.54296875" customWidth="1"/>
    <col min="9" max="9" width="6.81640625" bestFit="1" customWidth="1"/>
    <col min="10" max="10" width="8.54296875" customWidth="1"/>
    <col min="11" max="11" width="9.54296875" bestFit="1" customWidth="1"/>
    <col min="12" max="12" width="7.54296875" bestFit="1" customWidth="1"/>
    <col min="13" max="13" width="8.81640625" bestFit="1" customWidth="1"/>
    <col min="14" max="14" width="8.1796875" bestFit="1" customWidth="1"/>
    <col min="15" max="15" width="9.453125" bestFit="1" customWidth="1"/>
    <col min="16" max="16" width="8.1796875" bestFit="1" customWidth="1"/>
    <col min="17" max="17" width="7.54296875" bestFit="1" customWidth="1"/>
  </cols>
  <sheetData>
    <row r="1" spans="1:9" x14ac:dyDescent="0.35">
      <c r="A1" s="13" t="s">
        <v>36</v>
      </c>
    </row>
    <row r="2" spans="1:9" x14ac:dyDescent="0.35">
      <c r="A2" t="s">
        <v>94</v>
      </c>
      <c r="B2" s="13" t="s">
        <v>234</v>
      </c>
      <c r="D2" t="str">
        <f>A2&amp;" "&amp; B2</f>
        <v>Formulation Husky</v>
      </c>
      <c r="G2" cm="1">
        <f t="array" aca="1" ref="G2" ca="1">INDIRECT("'"&amp;D2&amp;"'!C7")</f>
        <v>5.5</v>
      </c>
      <c r="H2" t="s">
        <v>46</v>
      </c>
      <c r="I2" t="s">
        <v>99</v>
      </c>
    </row>
    <row r="3" spans="1:9" x14ac:dyDescent="0.35">
      <c r="A3" t="str">
        <f>'Formulation STOF2'!B6</f>
        <v>Smooth Texture Sugar Free Orange Natural Dyes</v>
      </c>
      <c r="D3" t="s">
        <v>44</v>
      </c>
      <c r="E3" t="s">
        <v>45</v>
      </c>
      <c r="G3" s="27" cm="1">
        <f t="array" aca="1" ref="G3" ca="1">INDIRECT("'"&amp;D2&amp;"'!D6")</f>
        <v>12</v>
      </c>
      <c r="H3" t="s">
        <v>46</v>
      </c>
      <c r="I3" t="s">
        <v>100</v>
      </c>
    </row>
    <row r="5" spans="1:9" ht="15.5" x14ac:dyDescent="0.35">
      <c r="A5" s="146" t="s">
        <v>104</v>
      </c>
      <c r="B5" t="s">
        <v>101</v>
      </c>
      <c r="C5" s="18">
        <f ca="1">(4*F24)+(4*C10)+(9*C31)</f>
        <v>20.102169999999997</v>
      </c>
      <c r="D5" s="50" t="s">
        <v>95</v>
      </c>
      <c r="E5" s="74" t="s">
        <v>96</v>
      </c>
      <c r="F5" s="74" t="s">
        <v>98</v>
      </c>
    </row>
    <row r="6" spans="1:9" ht="15.5" x14ac:dyDescent="0.35">
      <c r="A6" s="146"/>
      <c r="B6" t="s">
        <v>102</v>
      </c>
      <c r="C6" s="18">
        <f ca="1">(4*F24)+(9*C31)+(4*(C10-D10))+(2*D10)</f>
        <v>10.884170000000001</v>
      </c>
      <c r="D6" s="50" t="s">
        <v>95</v>
      </c>
      <c r="E6" s="74" t="s">
        <v>97</v>
      </c>
      <c r="F6" s="74" t="s">
        <v>115</v>
      </c>
    </row>
    <row r="7" spans="1:9" ht="15.5" x14ac:dyDescent="0.35">
      <c r="A7" s="146"/>
      <c r="B7" t="s">
        <v>103</v>
      </c>
      <c r="C7" s="18">
        <f ca="1">(4*F24)+(9*C31)+(4*(C10-D10))+(2*E10)</f>
        <v>9.42117</v>
      </c>
      <c r="D7" s="50" t="s">
        <v>95</v>
      </c>
      <c r="E7" s="74" t="s">
        <v>97</v>
      </c>
      <c r="F7" s="74" t="s">
        <v>116</v>
      </c>
    </row>
    <row r="8" spans="1:9" s="51" customFormat="1" ht="7" customHeight="1" x14ac:dyDescent="0.35">
      <c r="C8" s="52"/>
      <c r="D8" s="53"/>
      <c r="E8" s="53"/>
    </row>
    <row r="9" spans="1:9" ht="30" customHeight="1" x14ac:dyDescent="0.35">
      <c r="A9" s="150" t="s">
        <v>49</v>
      </c>
      <c r="B9" s="18"/>
      <c r="C9" s="48" t="str" cm="1">
        <f t="array" aca="1" ref="C9" ca="1">INDIRECT("'"&amp;D2&amp;"'!K13")</f>
        <v>Total carbohydrate</v>
      </c>
      <c r="D9" s="49" t="str" cm="1">
        <f t="array" aca="1" ref="D9" ca="1">INDIRECT("'"&amp;D2&amp;"'!L13")</f>
        <v>Total dietary fiber</v>
      </c>
      <c r="E9" s="49" t="str" cm="1">
        <f t="array" aca="1" ref="E9" ca="1">INDIRECT("'"&amp;D2&amp;"'!M13")</f>
        <v>Soluble fiber</v>
      </c>
    </row>
    <row r="10" spans="1:9" x14ac:dyDescent="0.35">
      <c r="A10" s="150"/>
      <c r="B10" s="18" t="s">
        <v>50</v>
      </c>
      <c r="C10" s="21" cm="1">
        <f t="array" aca="1" ref="C10" ca="1">INDIRECT("'"&amp;D2&amp;"'!K8")</f>
        <v>4.7850000000000001</v>
      </c>
      <c r="D10" s="21" cm="1">
        <f t="array" aca="1" ref="D10" ca="1">INDIRECT("'"&amp;D2&amp;"'!L8")</f>
        <v>4.609</v>
      </c>
      <c r="E10" s="21" cm="1">
        <f t="array" aca="1" ref="E10" ca="1">INDIRECT("'"&amp;D2&amp;"'!M8")</f>
        <v>3.8774999999999999</v>
      </c>
    </row>
    <row r="11" spans="1:9" x14ac:dyDescent="0.35">
      <c r="A11" s="150"/>
      <c r="B11" s="18" t="s">
        <v>51</v>
      </c>
      <c r="C11" s="21">
        <v>275</v>
      </c>
      <c r="D11" s="21">
        <v>28</v>
      </c>
      <c r="E11" s="21" t="s">
        <v>52</v>
      </c>
    </row>
    <row r="12" spans="1:9" x14ac:dyDescent="0.35">
      <c r="A12" s="150"/>
      <c r="B12" s="18" t="s">
        <v>53</v>
      </c>
      <c r="C12" s="26">
        <f ca="1">C10/C11</f>
        <v>1.7399999999999999E-2</v>
      </c>
      <c r="D12" s="26">
        <f ca="1">D10/D11</f>
        <v>0.16460714285714287</v>
      </c>
      <c r="E12" s="26" t="s">
        <v>52</v>
      </c>
    </row>
    <row r="13" spans="1:9" ht="127" customHeight="1" x14ac:dyDescent="0.35">
      <c r="A13" s="150"/>
      <c r="B13" s="18"/>
      <c r="C13" s="1" t="str">
        <f>'Nutrition STONF'!C13</f>
        <v>&lt; 0.5g - express as 0
&lt; 1g - express as "contains less than 1g" or "less than 1g"
≥1g - express to nearest 1g increment
Insignificant amount is &lt; 1g</v>
      </c>
      <c r="D13" s="1" t="str">
        <f>'Nutrition STONF'!D13</f>
        <v>&lt; 0.5g - express as 0
&lt; 1g - express as "contains less than 1g" or "less than 1g"
≥1g - express to nearest 1g increment
Insignificant amount is &lt; 1g</v>
      </c>
      <c r="E13" s="1" t="str">
        <f>'Nutrition STONF'!E13</f>
        <v>- Label value  based on calculation of psyllium being 70% soluble fiber (3.4g psyllium * 0.70 = 2.4g)
&lt; 0.5g - express as 0
&lt; 1g - express as "contains less than 1g" or "less than 1g"
≥1g - express to nearest 1g increment
Insignificant amount is &lt; 0.5g</v>
      </c>
    </row>
    <row r="14" spans="1:9" x14ac:dyDescent="0.35">
      <c r="A14" s="150"/>
      <c r="B14" s="18" t="s">
        <v>56</v>
      </c>
      <c r="C14" s="31" t="s">
        <v>57</v>
      </c>
      <c r="D14" s="31" t="s">
        <v>57</v>
      </c>
      <c r="E14" s="31" t="s">
        <v>236</v>
      </c>
    </row>
    <row r="16" spans="1:9" x14ac:dyDescent="0.35">
      <c r="A16" s="150" t="s">
        <v>49</v>
      </c>
      <c r="B16" s="18"/>
      <c r="C16" s="19" t="str" cm="1">
        <f t="array" aca="1" ref="C16" ca="1">INDIRECT("'"&amp;D2&amp;"'!P13")</f>
        <v xml:space="preserve">Iron </v>
      </c>
      <c r="D16" s="19" t="str" cm="1">
        <f t="array" aca="1" ref="D16" ca="1">INDIRECT("'"&amp;D2&amp;"'!Q13")</f>
        <v>Potassium</v>
      </c>
      <c r="E16" s="19" t="str" cm="1">
        <f t="array" aca="1" ref="E16" ca="1">INDIRECT("'"&amp;D2&amp;"'!S13")</f>
        <v>Calcium</v>
      </c>
    </row>
    <row r="17" spans="1:6" x14ac:dyDescent="0.35">
      <c r="A17" s="150"/>
      <c r="B17" s="18" t="s">
        <v>50</v>
      </c>
      <c r="C17" s="22" cm="1">
        <f t="array" aca="1" ref="C17" ca="1">INDIRECT("'"&amp;D2&amp;"'!P8")</f>
        <v>0.42899999999999999</v>
      </c>
      <c r="D17" s="22" cm="1">
        <f t="array" aca="1" ref="D17" ca="1">INDIRECT("'"&amp;D2&amp;"'!Q8")</f>
        <v>46.585000000000001</v>
      </c>
      <c r="E17" s="22" cm="1">
        <f t="array" aca="1" ref="E17" ca="1">INDIRECT("'"&amp;D2&amp;"'!S8")</f>
        <v>9.6343499999999995</v>
      </c>
    </row>
    <row r="18" spans="1:6" x14ac:dyDescent="0.35">
      <c r="A18" s="150"/>
      <c r="B18" s="18" t="s">
        <v>51</v>
      </c>
      <c r="C18" s="22">
        <v>18</v>
      </c>
      <c r="D18" s="22">
        <v>4700</v>
      </c>
      <c r="E18" s="22">
        <v>1300</v>
      </c>
    </row>
    <row r="19" spans="1:6" x14ac:dyDescent="0.35">
      <c r="A19" s="150"/>
      <c r="B19" s="18" t="s">
        <v>53</v>
      </c>
      <c r="C19" s="26">
        <f ca="1">C17/C18</f>
        <v>2.3833333333333331E-2</v>
      </c>
      <c r="D19" s="26">
        <f t="shared" ref="D19:E19" ca="1" si="0">D17/D18</f>
        <v>9.9117021276595753E-3</v>
      </c>
      <c r="E19" s="26">
        <f t="shared" ca="1" si="0"/>
        <v>7.4110384615384611E-3</v>
      </c>
    </row>
    <row r="20" spans="1:6" ht="39" x14ac:dyDescent="0.35">
      <c r="A20" s="150"/>
      <c r="B20" s="18"/>
      <c r="C20" s="1" t="str">
        <f>'Nutrition STONF'!C20</f>
        <v>&lt;2% DV: shall not be declared 
&gt; 2% DV: round to nearest 0.1 mg and round to nearest % DV</v>
      </c>
      <c r="D20" s="1" t="str">
        <f>'Nutrition STONF'!D20</f>
        <v>&lt;2% DV: shall not be declared 
&gt; 2% DV: round to nearest 10 mg and round to nearest % DV</v>
      </c>
      <c r="E20" s="1" t="str">
        <f>'Nutrition STONF'!E20</f>
        <v>&lt;2% DV: shall not be declared 
&gt; 2% DV: round to nearest 10 mg and round to nearest % DV</v>
      </c>
    </row>
    <row r="21" spans="1:6" x14ac:dyDescent="0.35">
      <c r="A21" s="150"/>
      <c r="B21" s="18" t="s">
        <v>56</v>
      </c>
      <c r="C21" s="31" t="s">
        <v>140</v>
      </c>
      <c r="D21" s="31" t="s">
        <v>237</v>
      </c>
      <c r="E21" s="31" t="s">
        <v>131</v>
      </c>
    </row>
    <row r="23" spans="1:6" x14ac:dyDescent="0.35">
      <c r="A23" s="150" t="s">
        <v>49</v>
      </c>
      <c r="B23" s="18"/>
      <c r="C23" s="19" t="str" cm="1">
        <f t="array" aca="1" ref="C23" ca="1">INDIRECT("'"&amp;D2&amp;"'!T13")</f>
        <v>Vitamin A</v>
      </c>
      <c r="D23" s="19" t="str" cm="1">
        <f t="array" aca="1" ref="D23" ca="1">INDIRECT("'"&amp;D2&amp;"'!U13")</f>
        <v>Vitamin C</v>
      </c>
      <c r="E23" s="19" t="str" cm="1">
        <f t="array" aca="1" ref="E23" ca="1">INDIRECT("'"&amp;D2&amp;"'!V13")</f>
        <v>Vitamin D</v>
      </c>
      <c r="F23" s="19" t="str" cm="1">
        <f t="array" aca="1" ref="F23" ca="1">INDIRECT("'"&amp;D2&amp;"'!W13")</f>
        <v>Protein</v>
      </c>
    </row>
    <row r="24" spans="1:6" x14ac:dyDescent="0.35">
      <c r="A24" s="150"/>
      <c r="B24" s="18" t="s">
        <v>50</v>
      </c>
      <c r="C24" s="23" cm="1">
        <f t="array" aca="1" ref="C24" ca="1">INDIRECT("'"&amp;D2&amp;"'!T8")</f>
        <v>0</v>
      </c>
      <c r="D24" s="24" cm="1">
        <f t="array" aca="1" ref="D24" ca="1">INDIRECT("'"&amp;D2&amp;"'!U8")</f>
        <v>0</v>
      </c>
      <c r="E24" s="24" cm="1">
        <f t="array" aca="1" ref="E24" ca="1">INDIRECT("'"&amp;D2&amp;"'!V8")</f>
        <v>0</v>
      </c>
      <c r="F24" s="21" cm="1">
        <f t="array" aca="1" ref="F24" ca="1">INDIRECT("'"&amp;D2&amp;"'!W8")</f>
        <v>0.115555</v>
      </c>
    </row>
    <row r="25" spans="1:6" x14ac:dyDescent="0.35">
      <c r="A25" s="150"/>
      <c r="B25" s="18" t="s">
        <v>51</v>
      </c>
      <c r="C25" s="26" t="s">
        <v>52</v>
      </c>
      <c r="D25" s="26" t="s">
        <v>52</v>
      </c>
      <c r="E25" s="26">
        <v>0.2</v>
      </c>
      <c r="F25" s="26" t="s">
        <v>52</v>
      </c>
    </row>
    <row r="26" spans="1:6" x14ac:dyDescent="0.35">
      <c r="A26" s="150"/>
      <c r="B26" s="18" t="s">
        <v>53</v>
      </c>
      <c r="C26" s="26" t="s">
        <v>52</v>
      </c>
      <c r="D26" s="26" t="s">
        <v>52</v>
      </c>
      <c r="E26" s="26">
        <f t="shared" ref="E26" ca="1" si="1">E24/E25</f>
        <v>0</v>
      </c>
      <c r="F26" s="26" t="s">
        <v>52</v>
      </c>
    </row>
    <row r="27" spans="1:6" ht="78" x14ac:dyDescent="0.35">
      <c r="A27" s="150"/>
      <c r="B27" s="18"/>
      <c r="C27" s="1" t="str">
        <f>'Nutrition STONF'!C27</f>
        <v>&lt;2% DV: shall not be declared 
&gt; 2% DV: round to nearest 10 mcg RAE and round to nearest % DV</v>
      </c>
      <c r="D27" s="1" t="str">
        <f>'Nutrition STONF'!D27</f>
        <v>&lt;2% DV: shall not be declared 
&gt; 2% DV: round to nearest 1 mg and round to nearest % DV</v>
      </c>
      <c r="E27" s="1" t="str">
        <f>'Nutrition STONF'!E27</f>
        <v>&lt;2% DV: shall not be declared 
&gt; 2% DV: round to nearest 0.1 mcg and round to nearest % DV</v>
      </c>
      <c r="F27" s="1" t="str">
        <f>'Nutrition STONF'!F27</f>
        <v>&lt; 0.5g - express as 0
&lt; 1g - express as "contains less than 1g" or "less than 1g"
≥1g - express to nearest 1g increment
Insignificant amount is &lt; 0.5g</v>
      </c>
    </row>
    <row r="28" spans="1:6" x14ac:dyDescent="0.35">
      <c r="A28" s="150"/>
      <c r="B28" s="18" t="s">
        <v>56</v>
      </c>
      <c r="C28" s="31" t="s">
        <v>238</v>
      </c>
      <c r="D28" s="31" t="s">
        <v>62</v>
      </c>
      <c r="E28" s="31">
        <v>0</v>
      </c>
      <c r="F28" s="31" t="s">
        <v>63</v>
      </c>
    </row>
    <row r="30" spans="1:6" x14ac:dyDescent="0.35">
      <c r="A30" s="149" t="s">
        <v>64</v>
      </c>
      <c r="B30" s="18"/>
      <c r="C30" s="19" t="s">
        <v>6</v>
      </c>
      <c r="D30" s="19" t="s">
        <v>7</v>
      </c>
      <c r="E30" s="19" t="s">
        <v>8</v>
      </c>
      <c r="F30" s="19" t="s">
        <v>9</v>
      </c>
    </row>
    <row r="31" spans="1:6" x14ac:dyDescent="0.35">
      <c r="A31" s="149"/>
      <c r="B31" s="18" t="s">
        <v>50</v>
      </c>
      <c r="C31" s="21" cm="1">
        <f t="array" aca="1" ref="C31" ca="1">INDIRECT("'"&amp;D2&amp;"'!G8")</f>
        <v>5.5549999999999995E-2</v>
      </c>
      <c r="D31" s="21" cm="1">
        <f t="array" aca="1" ref="D31" ca="1">INDIRECT("'"&amp;D2&amp;"'!H8")</f>
        <v>9.130000000000001E-3</v>
      </c>
      <c r="E31" s="21" cm="1">
        <f t="array" aca="1" ref="E31" ca="1">INDIRECT("'"&amp;D2&amp;"'!I8")</f>
        <v>0</v>
      </c>
      <c r="F31" s="21" cm="1">
        <f t="array" aca="1" ref="F31" ca="1">INDIRECT("'"&amp;D2&amp;"'!J8")</f>
        <v>0</v>
      </c>
    </row>
    <row r="32" spans="1:6" x14ac:dyDescent="0.35">
      <c r="A32" s="149"/>
      <c r="B32" s="18" t="s">
        <v>51</v>
      </c>
      <c r="C32" s="21" t="s">
        <v>52</v>
      </c>
      <c r="D32" s="21" t="s">
        <v>52</v>
      </c>
      <c r="E32" s="21" t="s">
        <v>52</v>
      </c>
      <c r="F32" s="21" t="s">
        <v>52</v>
      </c>
    </row>
    <row r="33" spans="1:11" x14ac:dyDescent="0.35">
      <c r="A33" s="149"/>
      <c r="B33" s="18" t="s">
        <v>53</v>
      </c>
      <c r="C33" s="26" t="s">
        <v>52</v>
      </c>
      <c r="D33" s="26" t="s">
        <v>52</v>
      </c>
      <c r="E33" s="26" t="s">
        <v>52</v>
      </c>
      <c r="F33" s="26" t="s">
        <v>52</v>
      </c>
    </row>
    <row r="34" spans="1:11" ht="73.400000000000006" customHeight="1" x14ac:dyDescent="0.35">
      <c r="A34" s="149"/>
      <c r="B34" s="18"/>
      <c r="C34" s="1" t="str">
        <f>'Nutrition STONF'!C34</f>
        <v xml:space="preserve">&lt; 0.5g - express as 0
&lt; 5 g - nearest 0.5 g increment
&gt; 5 g: nearest 1 g increment
</v>
      </c>
      <c r="D34" s="1" t="str">
        <f>'Nutrition STONF'!D34</f>
        <v xml:space="preserve">&lt; 0.5g - express as 0
&lt; 5 g - nearest 0.5 g increment
&gt; 5 g: nearest 1 g increment
</v>
      </c>
      <c r="E34" s="1" t="str">
        <f>'Nutrition STONF'!E34</f>
        <v xml:space="preserve">&lt; 0.5g - express as 0
&lt; 5 g - nearest 0.5 g increment
&gt; 5 g: nearest 1 g increment
</v>
      </c>
      <c r="F34" s="1" t="str">
        <f>'Nutrition STONF'!F34</f>
        <v>&lt; 2mg: express as 0
2-5 mg: "less than 5 mg"
&gt; 5 mg: 5 mg increment</v>
      </c>
    </row>
    <row r="35" spans="1:11" x14ac:dyDescent="0.35">
      <c r="A35" s="149"/>
      <c r="B35" s="18" t="s">
        <v>56</v>
      </c>
      <c r="C35" s="31">
        <v>0</v>
      </c>
      <c r="D35" s="31">
        <v>0</v>
      </c>
      <c r="E35" s="31">
        <v>0</v>
      </c>
      <c r="F35" s="31">
        <v>0</v>
      </c>
    </row>
    <row r="37" spans="1:11" ht="30" customHeight="1" x14ac:dyDescent="0.35">
      <c r="A37" s="149" t="s">
        <v>64</v>
      </c>
      <c r="B37" s="18"/>
      <c r="C37" s="20" t="str" cm="1">
        <f t="array" aca="1" ref="C37" ca="1">INDIRECT("'"&amp;D2&amp;"'!E13")</f>
        <v>Calories (US Rules)</v>
      </c>
      <c r="D37" s="19" t="s">
        <v>5</v>
      </c>
      <c r="E37" s="19" t="str" cm="1">
        <f t="array" aca="1" ref="E37" ca="1">INDIRECT("'"&amp;D2&amp;"'!N13")</f>
        <v xml:space="preserve">Sugar </v>
      </c>
      <c r="F37" s="19" t="str" cm="1">
        <f t="array" aca="1" ref="F37" ca="1">INDIRECT("'"&amp;D2&amp;"'!O13")</f>
        <v>Added Sugars</v>
      </c>
      <c r="G37" s="19" t="str" cm="1">
        <f t="array" aca="1" ref="G37" ca="1">INDIRECT("'"&amp;D2&amp;"'!R13")</f>
        <v>Sodium</v>
      </c>
    </row>
    <row r="38" spans="1:11" x14ac:dyDescent="0.35">
      <c r="A38" s="149"/>
      <c r="B38" s="18" t="s">
        <v>50</v>
      </c>
      <c r="C38" s="20">
        <f ca="1">C7</f>
        <v>9.42117</v>
      </c>
      <c r="D38" s="20" cm="1">
        <f t="array" aca="1" ref="D38" ca="1">INDIRECT("'"&amp;D2&amp;"'!F8")</f>
        <v>0.23771</v>
      </c>
      <c r="E38" s="21" cm="1">
        <f t="array" aca="1" ref="E38" ca="1">INDIRECT("'"&amp;D2&amp;"'!N8")</f>
        <v>5.5000000000000005E-3</v>
      </c>
      <c r="F38" s="21" cm="1">
        <f t="array" aca="1" ref="F38" ca="1">INDIRECT("'"&amp;D2&amp;"'!O8")</f>
        <v>0</v>
      </c>
      <c r="G38" s="22" cm="1">
        <f t="array" aca="1" ref="G38" ca="1">INDIRECT("'"&amp;D2&amp;"'!R8")</f>
        <v>3.8692499999999996</v>
      </c>
    </row>
    <row r="39" spans="1:11" x14ac:dyDescent="0.35">
      <c r="A39" s="149"/>
      <c r="B39" s="18"/>
      <c r="C39" s="20" t="s">
        <v>52</v>
      </c>
      <c r="D39" s="20" t="s">
        <v>52</v>
      </c>
      <c r="E39" s="21" t="s">
        <v>52</v>
      </c>
      <c r="F39" s="21">
        <v>50</v>
      </c>
      <c r="G39" s="22">
        <v>2300</v>
      </c>
    </row>
    <row r="40" spans="1:11" x14ac:dyDescent="0.35">
      <c r="A40" s="149"/>
      <c r="B40" s="18" t="s">
        <v>53</v>
      </c>
      <c r="C40" s="25" t="s">
        <v>52</v>
      </c>
      <c r="D40" s="25" t="s">
        <v>52</v>
      </c>
      <c r="E40" s="26" t="s">
        <v>52</v>
      </c>
      <c r="F40" s="26">
        <f t="shared" ref="F40:G40" ca="1" si="2">F38/F39</f>
        <v>0</v>
      </c>
      <c r="G40" s="26">
        <f t="shared" ca="1" si="2"/>
        <v>1.682282608695652E-3</v>
      </c>
    </row>
    <row r="41" spans="1:11" ht="193.4" customHeight="1" x14ac:dyDescent="0.35">
      <c r="A41" s="149"/>
      <c r="B41" s="18"/>
      <c r="C41" s="1" t="str">
        <f>'Nutrition STONF'!C41</f>
        <v>&lt; 5 cal - express as 0
≤ 50 cal - express to nearest 5 cal increment
&gt; 50 cal - express to nearest 10 cal increment
Insignificant amount is &lt; 5 cal</v>
      </c>
      <c r="D41" s="1" t="str">
        <f>'Nutrition STONF'!D41</f>
        <v>Not required to be declared</v>
      </c>
      <c r="E41" s="1" t="str">
        <f>'Nutrition STONF'!E41</f>
        <v>&lt; 0.5g - express as 0
&lt; 1g - express as "contains less than 1g" or "less than 1g"
≥1g - express to nearest 1g increment
Insignificant amount is &lt; 0.5g</v>
      </c>
      <c r="F41" s="1" t="str">
        <f>'Nutrition STONF'!F41</f>
        <v>&lt; 0.5g - express as 0
&lt; 1g - express as "contains less than 1g" or "less than 1g"
≥1g - express to nearest 1g increment
Insignificant amount is &lt; 0.5g</v>
      </c>
      <c r="G41" s="1" t="str">
        <f>'Nutrition STONF'!G41</f>
        <v>&lt; 5mg - express as 0
5-140mg - express to nearest 5mg increment
&gt; 140mg - express to nearest 10mg increment
Insignificant amount is &lt; 5mg</v>
      </c>
      <c r="K41" s="32"/>
    </row>
    <row r="42" spans="1:11" x14ac:dyDescent="0.35">
      <c r="A42" s="149"/>
      <c r="B42" s="18" t="s">
        <v>56</v>
      </c>
      <c r="C42" s="31" t="s">
        <v>239</v>
      </c>
      <c r="D42" s="31">
        <v>0</v>
      </c>
      <c r="E42" s="30">
        <v>0</v>
      </c>
      <c r="F42" s="31">
        <v>0</v>
      </c>
      <c r="G42" s="31">
        <v>0</v>
      </c>
      <c r="K42" s="33"/>
    </row>
    <row r="43" spans="1:11" x14ac:dyDescent="0.35">
      <c r="A43" s="29"/>
      <c r="D43" s="28"/>
      <c r="K43" s="34"/>
    </row>
    <row r="44" spans="1:11" x14ac:dyDescent="0.35">
      <c r="D44" s="28"/>
      <c r="K44" s="34"/>
    </row>
    <row r="45" spans="1:11" x14ac:dyDescent="0.35">
      <c r="D45" s="28"/>
    </row>
    <row r="46" spans="1:11" ht="15" thickBot="1" x14ac:dyDescent="0.4">
      <c r="D46" s="28"/>
    </row>
    <row r="47" spans="1:11" x14ac:dyDescent="0.35">
      <c r="A47" s="43"/>
      <c r="B47" s="43"/>
      <c r="C47" s="113"/>
      <c r="F47" s="106"/>
      <c r="G47" s="107"/>
      <c r="H47" s="107"/>
      <c r="I47" s="107"/>
      <c r="J47" s="107"/>
      <c r="K47" s="108"/>
    </row>
    <row r="48" spans="1:11" x14ac:dyDescent="0.35">
      <c r="A48" s="42"/>
      <c r="B48" s="42"/>
      <c r="F48" s="83"/>
      <c r="K48" s="84"/>
    </row>
    <row r="49" spans="1:11" x14ac:dyDescent="0.35">
      <c r="F49" s="83"/>
      <c r="K49" s="84"/>
    </row>
    <row r="50" spans="1:11" x14ac:dyDescent="0.35">
      <c r="A50" s="9"/>
      <c r="F50" s="83"/>
      <c r="K50" s="84"/>
    </row>
    <row r="51" spans="1:11" x14ac:dyDescent="0.35">
      <c r="A51" s="9"/>
      <c r="F51" s="83"/>
      <c r="J51" s="37"/>
      <c r="K51" s="94"/>
    </row>
    <row r="52" spans="1:11" x14ac:dyDescent="0.35">
      <c r="A52" s="71"/>
      <c r="F52" s="83"/>
      <c r="J52" s="37"/>
      <c r="K52" s="94"/>
    </row>
    <row r="53" spans="1:11" x14ac:dyDescent="0.35">
      <c r="A53" s="71"/>
      <c r="F53" s="83"/>
      <c r="J53" s="37"/>
      <c r="K53" s="94"/>
    </row>
    <row r="54" spans="1:11" x14ac:dyDescent="0.35">
      <c r="A54" s="71"/>
      <c r="F54" s="83"/>
      <c r="J54" s="37"/>
      <c r="K54" s="94"/>
    </row>
    <row r="55" spans="1:11" x14ac:dyDescent="0.35">
      <c r="A55" s="71"/>
      <c r="F55" s="83"/>
      <c r="J55" s="37"/>
      <c r="K55" s="94"/>
    </row>
    <row r="56" spans="1:11" x14ac:dyDescent="0.35">
      <c r="A56" s="71"/>
      <c r="F56" s="83"/>
      <c r="J56" s="37"/>
      <c r="K56" s="94"/>
    </row>
    <row r="57" spans="1:11" x14ac:dyDescent="0.35">
      <c r="A57" s="71"/>
      <c r="F57" s="83"/>
      <c r="J57" s="37"/>
      <c r="K57" s="94"/>
    </row>
    <row r="58" spans="1:11" x14ac:dyDescent="0.35">
      <c r="A58" s="71"/>
      <c r="F58" s="83"/>
      <c r="J58" s="37"/>
      <c r="K58" s="94"/>
    </row>
    <row r="59" spans="1:11" x14ac:dyDescent="0.35">
      <c r="A59" s="71"/>
      <c r="F59" s="83"/>
      <c r="J59" s="37"/>
      <c r="K59" s="94"/>
    </row>
    <row r="60" spans="1:11" x14ac:dyDescent="0.35">
      <c r="A60" s="71"/>
      <c r="F60" s="83"/>
      <c r="J60" s="37"/>
      <c r="K60" s="94"/>
    </row>
    <row r="61" spans="1:11" x14ac:dyDescent="0.35">
      <c r="A61" s="71"/>
      <c r="F61" s="83"/>
      <c r="J61" s="37"/>
      <c r="K61" s="94"/>
    </row>
    <row r="62" spans="1:11" x14ac:dyDescent="0.35">
      <c r="A62" s="71"/>
      <c r="F62" s="83"/>
      <c r="J62" s="37"/>
      <c r="K62" s="94"/>
    </row>
    <row r="63" spans="1:11" x14ac:dyDescent="0.35">
      <c r="A63" s="71"/>
      <c r="F63" s="83"/>
      <c r="J63" s="37"/>
      <c r="K63" s="94"/>
    </row>
    <row r="64" spans="1:11" x14ac:dyDescent="0.35">
      <c r="A64" s="71"/>
      <c r="F64" s="83"/>
      <c r="J64" s="37"/>
      <c r="K64" s="94"/>
    </row>
    <row r="65" spans="1:11" x14ac:dyDescent="0.35">
      <c r="A65" s="71"/>
      <c r="F65" s="83"/>
      <c r="J65" s="37"/>
      <c r="K65" s="94"/>
    </row>
    <row r="66" spans="1:11" ht="15" thickBot="1" x14ac:dyDescent="0.4">
      <c r="A66" s="71"/>
      <c r="F66" s="109"/>
      <c r="G66" s="110"/>
      <c r="H66" s="110"/>
      <c r="I66" s="110"/>
      <c r="J66" s="111"/>
      <c r="K66" s="112"/>
    </row>
    <row r="67" spans="1:11" x14ac:dyDescent="0.35">
      <c r="A67" s="71"/>
    </row>
    <row r="68" spans="1:11" x14ac:dyDescent="0.35">
      <c r="A68" s="71"/>
    </row>
  </sheetData>
  <mergeCells count="6">
    <mergeCell ref="A37:A42"/>
    <mergeCell ref="A5:A7"/>
    <mergeCell ref="A9:A14"/>
    <mergeCell ref="A16:A21"/>
    <mergeCell ref="A23:A28"/>
    <mergeCell ref="A30:A35"/>
  </mergeCells>
  <pageMargins left="0.7" right="0.7" top="0.75" bottom="0.75" header="0.3" footer="0.3"/>
  <pageSetup orientation="portrait" r:id="rId1"/>
  <headerFooter>
    <oddHeader>&amp;R&amp;"Calibri"&amp;10&amp;K000000Highly Restricted&amp;1#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18370-59D3-4426-848F-CFF26481D893}">
  <dimension ref="A1:E32"/>
  <sheetViews>
    <sheetView workbookViewId="0">
      <selection activeCell="A12" sqref="A12"/>
    </sheetView>
  </sheetViews>
  <sheetFormatPr defaultRowHeight="14.5" x14ac:dyDescent="0.35"/>
  <cols>
    <col min="3" max="3" width="10.54296875" customWidth="1"/>
  </cols>
  <sheetData>
    <row r="1" spans="1:5" x14ac:dyDescent="0.35">
      <c r="C1" t="s">
        <v>44</v>
      </c>
      <c r="D1" t="s">
        <v>45</v>
      </c>
    </row>
    <row r="2" spans="1:5" x14ac:dyDescent="0.35">
      <c r="B2" t="s">
        <v>46</v>
      </c>
      <c r="C2" t="s">
        <v>47</v>
      </c>
      <c r="D2" t="s">
        <v>48</v>
      </c>
    </row>
    <row r="5" spans="1:5" x14ac:dyDescent="0.35">
      <c r="A5">
        <v>5.8</v>
      </c>
      <c r="B5" t="s">
        <v>68</v>
      </c>
      <c r="C5" t="s">
        <v>46</v>
      </c>
      <c r="D5" t="s">
        <v>69</v>
      </c>
      <c r="E5" t="s">
        <v>48</v>
      </c>
    </row>
    <row r="6" spans="1:5" x14ac:dyDescent="0.35">
      <c r="B6">
        <v>1</v>
      </c>
      <c r="C6" s="40">
        <f>A5*B6</f>
        <v>5.8</v>
      </c>
      <c r="D6" s="39">
        <f>C6*0.00220462</f>
        <v>1.2786796E-2</v>
      </c>
      <c r="E6" s="39">
        <f>C6*0.035274</f>
        <v>0.2045892</v>
      </c>
    </row>
    <row r="7" spans="1:5" x14ac:dyDescent="0.35">
      <c r="B7">
        <v>30</v>
      </c>
      <c r="C7" s="40">
        <f>A5*B7</f>
        <v>174</v>
      </c>
      <c r="D7" s="39">
        <f>C7*0.00220462</f>
        <v>0.38360388000000001</v>
      </c>
      <c r="E7" s="39">
        <f>C7*0.035274</f>
        <v>6.1376759999999999</v>
      </c>
    </row>
    <row r="8" spans="1:5" x14ac:dyDescent="0.35">
      <c r="B8">
        <v>72</v>
      </c>
      <c r="C8" s="40">
        <f>A5*B8</f>
        <v>417.59999999999997</v>
      </c>
      <c r="D8" s="39">
        <f t="shared" ref="D8:D11" si="0">C8*0.00220462</f>
        <v>0.92064931199999989</v>
      </c>
      <c r="E8" s="39">
        <f t="shared" ref="E8:E11" si="1">C8*0.035274</f>
        <v>14.730422399999998</v>
      </c>
    </row>
    <row r="9" spans="1:5" x14ac:dyDescent="0.35">
      <c r="B9">
        <v>114</v>
      </c>
      <c r="C9" s="40">
        <f>A5*B9</f>
        <v>661.19999999999993</v>
      </c>
      <c r="D9" s="39">
        <f t="shared" si="0"/>
        <v>1.4576947439999999</v>
      </c>
      <c r="E9" s="39">
        <f t="shared" si="1"/>
        <v>23.323168799999998</v>
      </c>
    </row>
    <row r="10" spans="1:5" x14ac:dyDescent="0.35">
      <c r="B10">
        <v>130</v>
      </c>
      <c r="C10" s="40">
        <f>A5*B10</f>
        <v>754</v>
      </c>
      <c r="D10" s="39">
        <f t="shared" ref="D10" si="2">C10*0.00220462</f>
        <v>1.6622834799999999</v>
      </c>
      <c r="E10" s="39">
        <f t="shared" ref="E10" si="3">C10*0.035274</f>
        <v>26.596595999999998</v>
      </c>
    </row>
    <row r="11" spans="1:5" x14ac:dyDescent="0.35">
      <c r="B11">
        <v>180</v>
      </c>
      <c r="C11" s="40">
        <f>A5*B11</f>
        <v>1044</v>
      </c>
      <c r="D11" s="39">
        <f t="shared" si="0"/>
        <v>2.3016232799999998</v>
      </c>
      <c r="E11" s="39">
        <f t="shared" si="1"/>
        <v>36.826056000000001</v>
      </c>
    </row>
    <row r="12" spans="1:5" x14ac:dyDescent="0.35">
      <c r="C12" s="40"/>
    </row>
    <row r="13" spans="1:5" x14ac:dyDescent="0.35">
      <c r="A13">
        <v>5.8272000000000004</v>
      </c>
      <c r="B13" t="s">
        <v>68</v>
      </c>
      <c r="C13" s="40" t="s">
        <v>46</v>
      </c>
      <c r="D13" t="s">
        <v>69</v>
      </c>
      <c r="E13" t="s">
        <v>48</v>
      </c>
    </row>
    <row r="14" spans="1:5" x14ac:dyDescent="0.35">
      <c r="B14">
        <v>30</v>
      </c>
      <c r="C14" s="40">
        <f>A13*B14</f>
        <v>174.816</v>
      </c>
      <c r="D14" s="39">
        <f>C14*0.00220462</f>
        <v>0.38540284992000001</v>
      </c>
      <c r="E14" s="39">
        <f>C14*0.035274</f>
        <v>6.166459584</v>
      </c>
    </row>
    <row r="15" spans="1:5" x14ac:dyDescent="0.35">
      <c r="B15">
        <v>72</v>
      </c>
      <c r="C15" s="40">
        <f>A13*B15</f>
        <v>419.55840000000001</v>
      </c>
      <c r="D15" s="39">
        <f t="shared" ref="D15:D18" si="4">C15*0.00220462</f>
        <v>0.92496683980799999</v>
      </c>
      <c r="E15" s="39">
        <f t="shared" ref="E15:E18" si="5">C15*0.035274</f>
        <v>14.7995030016</v>
      </c>
    </row>
    <row r="16" spans="1:5" x14ac:dyDescent="0.35">
      <c r="B16">
        <v>114</v>
      </c>
      <c r="C16" s="40">
        <f>A13*B16</f>
        <v>664.30080000000009</v>
      </c>
      <c r="D16" s="39">
        <f t="shared" si="4"/>
        <v>1.4645308296960002</v>
      </c>
      <c r="E16" s="39">
        <f t="shared" si="5"/>
        <v>23.432546419200005</v>
      </c>
    </row>
    <row r="17" spans="1:5" x14ac:dyDescent="0.35">
      <c r="B17">
        <v>130</v>
      </c>
      <c r="C17" s="40">
        <f>A13*B17</f>
        <v>757.53600000000006</v>
      </c>
      <c r="D17" s="39">
        <f t="shared" si="4"/>
        <v>1.6700790163200001</v>
      </c>
      <c r="E17" s="39">
        <f t="shared" si="5"/>
        <v>26.721324864000003</v>
      </c>
    </row>
    <row r="18" spans="1:5" x14ac:dyDescent="0.35">
      <c r="B18">
        <v>180</v>
      </c>
      <c r="C18" s="40">
        <f>A13*B18</f>
        <v>1048.896</v>
      </c>
      <c r="D18" s="39">
        <f t="shared" si="4"/>
        <v>2.3124170995199997</v>
      </c>
      <c r="E18" s="39">
        <f t="shared" si="5"/>
        <v>36.998757503999997</v>
      </c>
    </row>
    <row r="20" spans="1:5" x14ac:dyDescent="0.35">
      <c r="A20">
        <v>11.7</v>
      </c>
      <c r="B20" t="s">
        <v>68</v>
      </c>
      <c r="C20" t="s">
        <v>46</v>
      </c>
      <c r="D20" t="s">
        <v>69</v>
      </c>
      <c r="E20" t="s">
        <v>48</v>
      </c>
    </row>
    <row r="21" spans="1:5" x14ac:dyDescent="0.35">
      <c r="B21">
        <f>B14/2</f>
        <v>15</v>
      </c>
      <c r="C21" s="40">
        <f>A20*B21</f>
        <v>175.5</v>
      </c>
      <c r="D21" s="39">
        <f>C21*0.00220462</f>
        <v>0.38691080999999999</v>
      </c>
      <c r="E21" s="39">
        <f>C21*0.035274</f>
        <v>6.1905869999999998</v>
      </c>
    </row>
    <row r="22" spans="1:5" x14ac:dyDescent="0.35">
      <c r="B22">
        <f>B15/2</f>
        <v>36</v>
      </c>
      <c r="C22" s="40">
        <f>A20*B22</f>
        <v>421.2</v>
      </c>
      <c r="D22" s="39">
        <f t="shared" ref="D22:D25" si="6">C22*0.00220462</f>
        <v>0.92858594399999994</v>
      </c>
      <c r="E22" s="39">
        <f t="shared" ref="E22:E25" si="7">C22*0.035274</f>
        <v>14.8574088</v>
      </c>
    </row>
    <row r="23" spans="1:5" x14ac:dyDescent="0.35">
      <c r="B23">
        <f>B16/2</f>
        <v>57</v>
      </c>
      <c r="C23" s="40">
        <f>A20*B23</f>
        <v>666.9</v>
      </c>
      <c r="D23" s="39">
        <f t="shared" si="6"/>
        <v>1.4702610780000001</v>
      </c>
      <c r="E23" s="39">
        <f t="shared" si="7"/>
        <v>23.524230599999999</v>
      </c>
    </row>
    <row r="24" spans="1:5" x14ac:dyDescent="0.35">
      <c r="B24">
        <f>130/2</f>
        <v>65</v>
      </c>
      <c r="C24" s="40">
        <f>A20*B24</f>
        <v>760.5</v>
      </c>
      <c r="D24" s="39">
        <f t="shared" si="6"/>
        <v>1.6766135099999999</v>
      </c>
      <c r="E24" s="39">
        <f t="shared" si="7"/>
        <v>26.825876999999998</v>
      </c>
    </row>
    <row r="25" spans="1:5" x14ac:dyDescent="0.35">
      <c r="B25">
        <f t="shared" ref="B25" si="8">B18/2</f>
        <v>90</v>
      </c>
      <c r="C25" s="40">
        <f>A20*B25</f>
        <v>1053</v>
      </c>
      <c r="D25" s="39">
        <f t="shared" si="6"/>
        <v>2.3214648599999999</v>
      </c>
      <c r="E25" s="39">
        <f t="shared" si="7"/>
        <v>37.143521999999997</v>
      </c>
    </row>
    <row r="26" spans="1:5" x14ac:dyDescent="0.35">
      <c r="C26" s="40"/>
    </row>
    <row r="27" spans="1:5" x14ac:dyDescent="0.35">
      <c r="A27">
        <f>A13*2</f>
        <v>11.654400000000001</v>
      </c>
      <c r="B27" t="s">
        <v>68</v>
      </c>
      <c r="C27" s="40" t="s">
        <v>46</v>
      </c>
      <c r="D27" t="s">
        <v>69</v>
      </c>
      <c r="E27" t="s">
        <v>48</v>
      </c>
    </row>
    <row r="28" spans="1:5" x14ac:dyDescent="0.35">
      <c r="B28">
        <v>15</v>
      </c>
      <c r="C28" s="40">
        <f>A27*B28</f>
        <v>174.816</v>
      </c>
      <c r="D28" s="39">
        <f>C28*0.00220462</f>
        <v>0.38540284992000001</v>
      </c>
      <c r="E28" s="39">
        <f>C28*0.035274</f>
        <v>6.166459584</v>
      </c>
    </row>
    <row r="29" spans="1:5" x14ac:dyDescent="0.35">
      <c r="B29">
        <v>36</v>
      </c>
      <c r="C29" s="40">
        <f>A27*B29</f>
        <v>419.55840000000001</v>
      </c>
      <c r="D29" s="39">
        <f t="shared" ref="D29:D32" si="9">C29*0.00220462</f>
        <v>0.92496683980799999</v>
      </c>
      <c r="E29" s="39">
        <f t="shared" ref="E29:E32" si="10">C29*0.035274</f>
        <v>14.7995030016</v>
      </c>
    </row>
    <row r="30" spans="1:5" x14ac:dyDescent="0.35">
      <c r="B30">
        <v>57</v>
      </c>
      <c r="C30" s="40">
        <f>A27*B30</f>
        <v>664.30080000000009</v>
      </c>
      <c r="D30" s="39">
        <f t="shared" si="9"/>
        <v>1.4645308296960002</v>
      </c>
      <c r="E30" s="39">
        <f t="shared" si="10"/>
        <v>23.432546419200005</v>
      </c>
    </row>
    <row r="31" spans="1:5" x14ac:dyDescent="0.35">
      <c r="B31">
        <f>130/2</f>
        <v>65</v>
      </c>
      <c r="C31" s="40">
        <f>A27*B31</f>
        <v>757.53600000000006</v>
      </c>
      <c r="D31" s="39">
        <f t="shared" si="9"/>
        <v>1.6700790163200001</v>
      </c>
      <c r="E31" s="39">
        <f t="shared" si="10"/>
        <v>26.721324864000003</v>
      </c>
    </row>
    <row r="32" spans="1:5" x14ac:dyDescent="0.35">
      <c r="B32">
        <v>90</v>
      </c>
      <c r="C32" s="40">
        <f>A27*B32</f>
        <v>1048.896</v>
      </c>
      <c r="D32" s="39">
        <f t="shared" si="9"/>
        <v>2.3124170995199997</v>
      </c>
      <c r="E32" s="39">
        <f t="shared" si="10"/>
        <v>36.998757503999997</v>
      </c>
    </row>
  </sheetData>
  <pageMargins left="0.7" right="0.7" top="0.75" bottom="0.75" header="0.3" footer="0.3"/>
  <pageSetup orientation="portrait" horizontalDpi="90" verticalDpi="90" r:id="rId1"/>
  <headerFooter>
    <oddHeader>&amp;R&amp;"Calibri"&amp;10&amp;K000000Highly Restricted&amp;1#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E4A5-3C54-4DE4-B294-F94B7DECD7CD}">
  <dimension ref="A1:AB34"/>
  <sheetViews>
    <sheetView zoomScaleNormal="100" workbookViewId="0">
      <selection activeCell="D8" sqref="D8"/>
    </sheetView>
  </sheetViews>
  <sheetFormatPr defaultRowHeight="14.5" x14ac:dyDescent="0.35"/>
  <cols>
    <col min="1" max="1" width="3" bestFit="1" customWidth="1"/>
    <col min="2" max="2" width="20.1796875" bestFit="1" customWidth="1"/>
    <col min="3" max="3" width="13.1796875" bestFit="1" customWidth="1"/>
    <col min="4" max="4" width="16.453125" bestFit="1" customWidth="1"/>
    <col min="5" max="6" width="12.6328125" customWidth="1"/>
    <col min="7" max="23" width="12.6328125" style="66" customWidth="1"/>
  </cols>
  <sheetData>
    <row r="1" spans="1:28" s="44" customFormat="1" x14ac:dyDescent="0.35">
      <c r="B1" s="45" t="s">
        <v>88</v>
      </c>
      <c r="C1" s="46">
        <v>46078</v>
      </c>
      <c r="D1" s="47" t="s">
        <v>89</v>
      </c>
      <c r="E1" s="45" t="s">
        <v>90</v>
      </c>
      <c r="F1" s="47" t="s">
        <v>91</v>
      </c>
      <c r="G1" s="64" t="s">
        <v>92</v>
      </c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</row>
    <row r="2" spans="1:28" x14ac:dyDescent="0.35">
      <c r="B2" t="s">
        <v>35</v>
      </c>
    </row>
    <row r="3" spans="1:28" x14ac:dyDescent="0.35">
      <c r="B3" s="13" t="s">
        <v>36</v>
      </c>
    </row>
    <row r="4" spans="1:28" x14ac:dyDescent="0.35">
      <c r="B4" t="s">
        <v>37</v>
      </c>
      <c r="D4" s="37"/>
    </row>
    <row r="5" spans="1:28" x14ac:dyDescent="0.35">
      <c r="B5" t="s">
        <v>38</v>
      </c>
      <c r="C5" t="s">
        <v>3</v>
      </c>
      <c r="D5" s="13" t="s">
        <v>260</v>
      </c>
      <c r="E5" s="37"/>
      <c r="Z5" s="136">
        <v>9.5000000000000001E-2</v>
      </c>
      <c r="AA5" s="140">
        <f>Z5/Z7</f>
        <v>0.15322580645161291</v>
      </c>
      <c r="AB5" s="67"/>
    </row>
    <row r="6" spans="1:28" ht="15" thickBot="1" x14ac:dyDescent="0.4">
      <c r="B6" s="13" t="s">
        <v>259</v>
      </c>
      <c r="C6" s="13">
        <v>6</v>
      </c>
      <c r="D6">
        <f>C6*2</f>
        <v>12</v>
      </c>
      <c r="Z6" s="136">
        <v>0.52500000000000002</v>
      </c>
      <c r="AA6" s="140">
        <f>Z6/Z7</f>
        <v>0.84677419354838712</v>
      </c>
      <c r="AB6" s="67"/>
    </row>
    <row r="7" spans="1:28" ht="29.5" thickBot="1" x14ac:dyDescent="0.4">
      <c r="B7" s="62" t="s">
        <v>114</v>
      </c>
      <c r="C7" s="63">
        <v>1.86</v>
      </c>
      <c r="D7" t="s">
        <v>264</v>
      </c>
      <c r="E7" t="s">
        <v>113</v>
      </c>
      <c r="F7" s="9" t="s">
        <v>5</v>
      </c>
      <c r="G7" s="71" t="s">
        <v>6</v>
      </c>
      <c r="H7" s="71" t="s">
        <v>7</v>
      </c>
      <c r="I7" s="71" t="s">
        <v>8</v>
      </c>
      <c r="J7" s="71" t="s">
        <v>9</v>
      </c>
      <c r="K7" s="71" t="s">
        <v>10</v>
      </c>
      <c r="L7" s="71" t="s">
        <v>11</v>
      </c>
      <c r="M7" s="71" t="s">
        <v>12</v>
      </c>
      <c r="N7" s="71" t="s">
        <v>13</v>
      </c>
      <c r="O7" s="71" t="s">
        <v>14</v>
      </c>
      <c r="P7" s="71" t="s">
        <v>15</v>
      </c>
      <c r="Q7" s="71" t="s">
        <v>16</v>
      </c>
      <c r="R7" s="71" t="s">
        <v>17</v>
      </c>
      <c r="S7" s="71" t="s">
        <v>18</v>
      </c>
      <c r="T7" s="71" t="s">
        <v>19</v>
      </c>
      <c r="U7" s="71" t="s">
        <v>20</v>
      </c>
      <c r="V7" s="71" t="s">
        <v>21</v>
      </c>
      <c r="W7" s="71" t="s">
        <v>22</v>
      </c>
      <c r="Z7" s="139">
        <f>SUM(Z5:Z6)</f>
        <v>0.62</v>
      </c>
      <c r="AA7" s="139">
        <f>Z7*5</f>
        <v>3.1</v>
      </c>
      <c r="AB7" s="134">
        <f>AA7*4</f>
        <v>12.4</v>
      </c>
    </row>
    <row r="8" spans="1:28" ht="27" customHeight="1" x14ac:dyDescent="0.35">
      <c r="B8" s="10" t="s">
        <v>39</v>
      </c>
      <c r="C8" s="11">
        <f>SUM(C14:C34)</f>
        <v>1</v>
      </c>
      <c r="D8" s="16">
        <f>SUM(D14:D21)</f>
        <v>1.86</v>
      </c>
      <c r="E8" s="76">
        <f>SUM(E14:E34)</f>
        <v>6.5634675600000012</v>
      </c>
      <c r="F8" s="76">
        <f>SUM(F14:F34)</f>
        <v>6.8089652400000006E-2</v>
      </c>
      <c r="G8" s="67">
        <f t="shared" ref="G8:W8" si="0">SUM(G14:G34)</f>
        <v>1.7021603999999999E-2</v>
      </c>
      <c r="H8" s="67">
        <f t="shared" si="0"/>
        <v>2.9566931999999999E-3</v>
      </c>
      <c r="I8" s="67">
        <f t="shared" si="0"/>
        <v>5.6915999999999995E-5</v>
      </c>
      <c r="J8" s="68">
        <f>SUM(J14:J34)</f>
        <v>0</v>
      </c>
      <c r="K8" s="67">
        <f t="shared" si="0"/>
        <v>1.3716114300000002</v>
      </c>
      <c r="L8" s="67">
        <f t="shared" si="0"/>
        <v>1.5877071599999999</v>
      </c>
      <c r="M8" s="67">
        <f t="shared" si="0"/>
        <v>1.1106711</v>
      </c>
      <c r="N8" s="67">
        <f t="shared" si="0"/>
        <v>2.5714500000000003E-3</v>
      </c>
      <c r="O8" s="67">
        <f>SUM(O14:O34)</f>
        <v>0</v>
      </c>
      <c r="P8" s="73">
        <f t="shared" si="0"/>
        <v>0.12572855999999999</v>
      </c>
      <c r="Q8" s="73">
        <f t="shared" si="0"/>
        <v>13.690995000000001</v>
      </c>
      <c r="R8" s="73">
        <f t="shared" si="0"/>
        <v>1.6490099699999998</v>
      </c>
      <c r="S8" s="73">
        <f t="shared" si="0"/>
        <v>2.7682006139999995</v>
      </c>
      <c r="T8" s="69">
        <f t="shared" si="0"/>
        <v>0</v>
      </c>
      <c r="U8" s="68">
        <f t="shared" si="0"/>
        <v>0</v>
      </c>
      <c r="V8" s="70">
        <f t="shared" si="0"/>
        <v>0</v>
      </c>
      <c r="W8" s="67">
        <f t="shared" si="0"/>
        <v>3.3924856199999999E-2</v>
      </c>
      <c r="Z8" s="135" t="s">
        <v>227</v>
      </c>
      <c r="AA8" s="135">
        <f>Z7*3</f>
        <v>1.8599999999999999</v>
      </c>
      <c r="AB8" s="67"/>
    </row>
    <row r="9" spans="1:28" x14ac:dyDescent="0.35">
      <c r="E9" s="148" t="s">
        <v>40</v>
      </c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Z9" s="136">
        <v>84.540999999999997</v>
      </c>
      <c r="AA9" s="135"/>
      <c r="AB9" s="67"/>
    </row>
    <row r="10" spans="1:28" x14ac:dyDescent="0.35">
      <c r="B10" t="s">
        <v>112</v>
      </c>
      <c r="C10" s="37">
        <v>4</v>
      </c>
      <c r="D10" s="61">
        <v>12.4</v>
      </c>
      <c r="E10" s="76">
        <f>E8*$C$10</f>
        <v>26.253870240000005</v>
      </c>
      <c r="F10" s="76">
        <f>F8*$C$10</f>
        <v>0.27235860960000002</v>
      </c>
      <c r="G10" s="67">
        <f t="shared" ref="G10:W10" si="1">G8*$C$10</f>
        <v>6.8086415999999997E-2</v>
      </c>
      <c r="H10" s="67">
        <f t="shared" si="1"/>
        <v>1.18267728E-2</v>
      </c>
      <c r="I10" s="67">
        <f t="shared" si="1"/>
        <v>2.2766399999999998E-4</v>
      </c>
      <c r="J10" s="68">
        <f t="shared" si="1"/>
        <v>0</v>
      </c>
      <c r="K10" s="67">
        <f t="shared" si="1"/>
        <v>5.4864457200000007</v>
      </c>
      <c r="L10" s="67">
        <f t="shared" si="1"/>
        <v>6.3508286399999996</v>
      </c>
      <c r="M10" s="67">
        <f t="shared" si="1"/>
        <v>4.4426844000000001</v>
      </c>
      <c r="N10" s="67">
        <f t="shared" si="1"/>
        <v>1.0285800000000001E-2</v>
      </c>
      <c r="O10" s="67">
        <f t="shared" si="1"/>
        <v>0</v>
      </c>
      <c r="P10" s="73">
        <f t="shared" si="1"/>
        <v>0.50291423999999996</v>
      </c>
      <c r="Q10" s="73">
        <f t="shared" si="1"/>
        <v>54.763980000000004</v>
      </c>
      <c r="R10" s="73">
        <f t="shared" si="1"/>
        <v>6.5960398799999993</v>
      </c>
      <c r="S10" s="73">
        <f t="shared" si="1"/>
        <v>11.072802455999998</v>
      </c>
      <c r="T10" s="69">
        <f t="shared" si="1"/>
        <v>0</v>
      </c>
      <c r="U10" s="68">
        <f t="shared" si="1"/>
        <v>0</v>
      </c>
      <c r="V10" s="70">
        <f t="shared" si="1"/>
        <v>0</v>
      </c>
      <c r="W10" s="67">
        <f t="shared" si="1"/>
        <v>0.1356994248</v>
      </c>
      <c r="Z10" s="137">
        <v>15.459</v>
      </c>
      <c r="AA10" s="137"/>
      <c r="AB10" s="67"/>
    </row>
    <row r="11" spans="1:28" x14ac:dyDescent="0.35">
      <c r="D11" s="38"/>
      <c r="Z11" s="135">
        <f>SUM(Z9:Z10)</f>
        <v>100</v>
      </c>
      <c r="AA11" s="135"/>
      <c r="AB11" s="67"/>
    </row>
    <row r="12" spans="1:28" x14ac:dyDescent="0.35">
      <c r="C12" s="100">
        <f>SUM(C14:C34)</f>
        <v>1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</row>
    <row r="13" spans="1:28" s="9" customFormat="1" ht="29" x14ac:dyDescent="0.35">
      <c r="B13" s="9" t="s">
        <v>0</v>
      </c>
      <c r="C13" s="9" t="s">
        <v>41</v>
      </c>
      <c r="D13" s="9" t="s">
        <v>42</v>
      </c>
      <c r="E13" s="9" t="s">
        <v>43</v>
      </c>
      <c r="F13" s="9" t="s">
        <v>5</v>
      </c>
      <c r="G13" s="71" t="s">
        <v>6</v>
      </c>
      <c r="H13" s="71" t="s">
        <v>7</v>
      </c>
      <c r="I13" s="71" t="s">
        <v>8</v>
      </c>
      <c r="J13" s="71" t="s">
        <v>9</v>
      </c>
      <c r="K13" s="71" t="s">
        <v>10</v>
      </c>
      <c r="L13" s="71" t="s">
        <v>11</v>
      </c>
      <c r="M13" s="71" t="s">
        <v>12</v>
      </c>
      <c r="N13" s="71" t="s">
        <v>13</v>
      </c>
      <c r="O13" s="71" t="s">
        <v>14</v>
      </c>
      <c r="P13" s="71" t="s">
        <v>15</v>
      </c>
      <c r="Q13" s="71" t="s">
        <v>16</v>
      </c>
      <c r="R13" s="71" t="s">
        <v>17</v>
      </c>
      <c r="S13" s="71" t="s">
        <v>18</v>
      </c>
      <c r="T13" s="71" t="s">
        <v>19</v>
      </c>
      <c r="U13" s="71" t="s">
        <v>20</v>
      </c>
      <c r="V13" s="71" t="s">
        <v>21</v>
      </c>
      <c r="W13" s="71" t="s">
        <v>22</v>
      </c>
    </row>
    <row r="14" spans="1:28" x14ac:dyDescent="0.35">
      <c r="A14">
        <v>1</v>
      </c>
      <c r="B14" s="14" t="s">
        <v>23</v>
      </c>
      <c r="C14" s="12">
        <v>0.84699999999999998</v>
      </c>
      <c r="D14" s="17">
        <f>C14*$C$7</f>
        <v>1.57542</v>
      </c>
      <c r="E14" s="76">
        <f>VLOOKUP($B14,Ingredients!$A:$W,5,FALSE)*$D14/100</f>
        <v>5.6841153600000007</v>
      </c>
      <c r="F14" s="76">
        <f>VLOOKUP($B14,Ingredients!$A:$W,6,FALSE)*$D14/100</f>
        <v>6.8089652400000006E-2</v>
      </c>
      <c r="G14" s="67">
        <f>VLOOKUP($B14,Ingredients!$A:$W,7,FALSE)*$D14/100</f>
        <v>1.5911742E-2</v>
      </c>
      <c r="H14" s="67">
        <f>VLOOKUP($B14,Ingredients!$A:$W,8,FALSE)*$D14/100</f>
        <v>2.6151972000000002E-3</v>
      </c>
      <c r="I14" s="67">
        <f>VLOOKUP($B14,Ingredients!$A:$W,9,FALSE)*$D14/100</f>
        <v>0</v>
      </c>
      <c r="J14" s="68">
        <f>VLOOKUP($B14,Ingredients!$A:$W,10,FALSE)*$D14/100</f>
        <v>0</v>
      </c>
      <c r="K14" s="67">
        <f>VLOOKUP($B14,Ingredients!$A:$W,11,FALSE)*$D14/100</f>
        <v>1.3706154000000002</v>
      </c>
      <c r="L14" s="67">
        <f>VLOOKUP($B14,Ingredients!$A:$W,12,FALSE)*$D14/100</f>
        <v>1.3202019599999999</v>
      </c>
      <c r="M14" s="67">
        <f>VLOOKUP($B14,Ingredients!$A:$W,13,FALSE)*$D14/100</f>
        <v>1.1106711</v>
      </c>
      <c r="N14" s="67">
        <f>VLOOKUP($B14,Ingredients!$A:$W,14,FALSE)*$D14/100</f>
        <v>1.5754200000000001E-3</v>
      </c>
      <c r="O14" s="67">
        <f>VLOOKUP($B14,Ingredients!$A:$W,15,FALSE)*$D14/100</f>
        <v>0</v>
      </c>
      <c r="P14" s="73">
        <f>VLOOKUP($B14,Ingredients!$A:$W,16,FALSE)*$D14/100</f>
        <v>0.12288275999999999</v>
      </c>
      <c r="Q14" s="73">
        <f>VLOOKUP($B14,Ingredients!$A:$W,17,FALSE)*$D14/100</f>
        <v>13.343807400000001</v>
      </c>
      <c r="R14" s="73">
        <f>VLOOKUP($B14,Ingredients!$A:$W,18,FALSE)*$D14/100</f>
        <v>1.1083079699999998</v>
      </c>
      <c r="S14" s="73">
        <f>VLOOKUP($B14,Ingredients!$A:$W,19,FALSE)*$D14/100</f>
        <v>2.7596632139999997</v>
      </c>
      <c r="T14" s="69">
        <f>VLOOKUP($B14,Ingredients!$A:$W,20,FALSE)*$D14/100</f>
        <v>0</v>
      </c>
      <c r="U14" s="68">
        <f>VLOOKUP($B14,Ingredients!$A:$W,21,FALSE)*$D14/100</f>
        <v>0</v>
      </c>
      <c r="V14" s="70">
        <f>VLOOKUP($B14,Ingredients!$A:$W,22,FALSE)*$D14/100</f>
        <v>0</v>
      </c>
      <c r="W14" s="67">
        <f>VLOOKUP($B14,Ingredients!$A:$W,23,FALSE)*$D14/100</f>
        <v>3.3099574200000002E-2</v>
      </c>
    </row>
    <row r="15" spans="1:28" x14ac:dyDescent="0.35">
      <c r="A15">
        <v>2</v>
      </c>
      <c r="B15" s="14" t="s">
        <v>257</v>
      </c>
      <c r="C15" s="12">
        <v>0.153</v>
      </c>
      <c r="D15" s="17">
        <f>C15*$C$7</f>
        <v>0.28458</v>
      </c>
      <c r="E15" s="76">
        <f>VLOOKUP($B15,Ingredients!$A:$W,5,FALSE)*$D15/100</f>
        <v>0.87935220000000003</v>
      </c>
      <c r="F15" s="76">
        <f>VLOOKUP($B15,Ingredients!$A:$W,6,FALSE)*$D15/100</f>
        <v>0</v>
      </c>
      <c r="G15" s="67">
        <f>VLOOKUP($B15,Ingredients!$A:$W,7,FALSE)*$D15/100</f>
        <v>1.1098620000000001E-3</v>
      </c>
      <c r="H15" s="67">
        <f>VLOOKUP($B15,Ingredients!$A:$W,8,FALSE)*$D15/100</f>
        <v>3.4149599999999994E-4</v>
      </c>
      <c r="I15" s="67">
        <f>VLOOKUP($B15,Ingredients!$A:$W,9,FALSE)*$D15/100</f>
        <v>5.6915999999999995E-5</v>
      </c>
      <c r="J15" s="68">
        <f>VLOOKUP($B15,Ingredients!$A:$W,10,FALSE)*$D15/100</f>
        <v>0</v>
      </c>
      <c r="K15" s="67">
        <f>VLOOKUP($B15,Ingredients!$A:$W,11,FALSE)*$D15/100</f>
        <v>9.9602999999999996E-4</v>
      </c>
      <c r="L15" s="67">
        <f>VLOOKUP($B15,Ingredients!$A:$W,12,FALSE)*$D15/100</f>
        <v>0.2675052</v>
      </c>
      <c r="M15" s="67">
        <f>VLOOKUP($B15,Ingredients!$A:$W,13,FALSE)*$D15/100</f>
        <v>0</v>
      </c>
      <c r="N15" s="67">
        <f>VLOOKUP($B15,Ingredients!$A:$W,14,FALSE)*$D15/100</f>
        <v>9.9602999999999996E-4</v>
      </c>
      <c r="O15" s="67">
        <f>VLOOKUP($B15,Ingredients!$A:$W,15,FALSE)*$D15/100</f>
        <v>0</v>
      </c>
      <c r="P15" s="73">
        <f>VLOOKUP($B15,Ingredients!$A:$W,16,FALSE)*$D15/100</f>
        <v>2.8457999999999999E-3</v>
      </c>
      <c r="Q15" s="73">
        <f>VLOOKUP($B15,Ingredients!$A:$W,17,FALSE)*$D15/100</f>
        <v>0.34718760000000004</v>
      </c>
      <c r="R15" s="73">
        <f>VLOOKUP($B15,Ingredients!$A:$W,18,FALSE)*$D15/100</f>
        <v>0.54070200000000002</v>
      </c>
      <c r="S15" s="73">
        <f>VLOOKUP($B15,Ingredients!$A:$W,19,FALSE)*$D15/100</f>
        <v>8.5373999999999988E-3</v>
      </c>
      <c r="T15" s="69">
        <f>VLOOKUP($B15,Ingredients!$A:$W,20,FALSE)*$D15/100</f>
        <v>0</v>
      </c>
      <c r="U15" s="68">
        <f>VLOOKUP($B15,Ingredients!$A:$W,21,FALSE)*$D15/100</f>
        <v>0</v>
      </c>
      <c r="V15" s="70">
        <f>VLOOKUP($B15,Ingredients!$A:$W,22,FALSE)*$D15/100</f>
        <v>0</v>
      </c>
      <c r="W15" s="67">
        <f>VLOOKUP($B15,Ingredients!$A:$W,23,FALSE)*$D15/100</f>
        <v>8.2528199999999999E-4</v>
      </c>
    </row>
    <row r="16" spans="1:28" x14ac:dyDescent="0.35">
      <c r="A16">
        <v>3</v>
      </c>
      <c r="B16" s="14"/>
      <c r="C16" s="12"/>
      <c r="D16" s="17"/>
      <c r="E16" s="76"/>
      <c r="F16" s="76"/>
      <c r="G16" s="67"/>
      <c r="H16" s="67"/>
      <c r="I16" s="67"/>
      <c r="J16" s="68"/>
      <c r="K16" s="67"/>
      <c r="L16" s="67"/>
      <c r="M16" s="67"/>
      <c r="N16" s="67"/>
      <c r="O16" s="67"/>
      <c r="P16" s="73"/>
      <c r="Q16" s="73"/>
      <c r="R16" s="73"/>
      <c r="S16" s="73"/>
      <c r="T16" s="69"/>
      <c r="U16" s="68"/>
      <c r="V16" s="70"/>
      <c r="W16" s="67"/>
    </row>
    <row r="17" spans="1:23" x14ac:dyDescent="0.35">
      <c r="A17">
        <v>4</v>
      </c>
      <c r="B17" s="14"/>
      <c r="C17" s="35"/>
      <c r="D17" s="17"/>
      <c r="E17" s="76"/>
      <c r="F17" s="76"/>
      <c r="G17" s="67"/>
      <c r="H17" s="67"/>
      <c r="I17" s="67"/>
      <c r="J17" s="68"/>
      <c r="K17" s="67"/>
      <c r="L17" s="67"/>
      <c r="M17" s="67"/>
      <c r="N17" s="67"/>
      <c r="O17" s="67"/>
      <c r="P17" s="73"/>
      <c r="Q17" s="73"/>
      <c r="R17" s="73"/>
      <c r="S17" s="73"/>
      <c r="T17" s="69"/>
      <c r="U17" s="68"/>
      <c r="V17" s="70"/>
      <c r="W17" s="67"/>
    </row>
    <row r="18" spans="1:23" ht="16.399999999999999" customHeight="1" x14ac:dyDescent="0.35">
      <c r="A18">
        <v>5</v>
      </c>
      <c r="B18" s="14"/>
      <c r="C18" s="35"/>
      <c r="D18" s="17"/>
      <c r="E18" s="141"/>
      <c r="F18" s="137"/>
      <c r="G18" s="67"/>
      <c r="H18" s="67"/>
      <c r="I18" s="67"/>
      <c r="J18" s="68"/>
      <c r="K18" s="67"/>
      <c r="L18" s="67"/>
      <c r="M18" s="67"/>
      <c r="N18" s="67"/>
      <c r="O18" s="67"/>
      <c r="P18" s="73"/>
      <c r="Q18" s="73"/>
      <c r="R18" s="73"/>
      <c r="S18" s="73"/>
      <c r="T18" s="69"/>
      <c r="U18" s="68"/>
      <c r="V18" s="70"/>
      <c r="W18" s="67"/>
    </row>
    <row r="19" spans="1:23" x14ac:dyDescent="0.35">
      <c r="A19">
        <v>6</v>
      </c>
      <c r="B19" s="14"/>
      <c r="C19" s="35"/>
      <c r="D19" s="138"/>
      <c r="E19" s="136"/>
      <c r="F19" s="140"/>
      <c r="G19" s="67"/>
      <c r="H19" s="67"/>
      <c r="I19" s="67"/>
      <c r="J19" s="68"/>
      <c r="K19" s="67"/>
      <c r="L19" s="67"/>
      <c r="M19" s="67"/>
      <c r="N19" s="67"/>
      <c r="O19" s="67"/>
      <c r="P19" s="73"/>
      <c r="Q19" s="73"/>
      <c r="R19" s="73"/>
      <c r="S19" s="73"/>
      <c r="T19" s="69"/>
      <c r="U19" s="68"/>
      <c r="V19" s="70"/>
      <c r="W19" s="67"/>
    </row>
    <row r="20" spans="1:23" x14ac:dyDescent="0.35">
      <c r="A20">
        <v>7</v>
      </c>
      <c r="B20" s="14"/>
      <c r="C20" s="35"/>
      <c r="D20" s="138"/>
      <c r="E20" s="136"/>
      <c r="F20" s="140"/>
      <c r="G20" s="67"/>
      <c r="H20" s="67"/>
      <c r="I20" s="67"/>
      <c r="J20" s="68"/>
      <c r="K20" s="67"/>
      <c r="L20" s="67"/>
      <c r="M20" s="67"/>
      <c r="N20" s="67"/>
      <c r="O20" s="67"/>
      <c r="P20" s="73"/>
      <c r="Q20" s="73"/>
      <c r="R20" s="73"/>
      <c r="S20" s="73"/>
      <c r="T20" s="69"/>
      <c r="U20" s="68"/>
      <c r="V20" s="70"/>
      <c r="W20" s="67"/>
    </row>
    <row r="21" spans="1:23" x14ac:dyDescent="0.35">
      <c r="A21">
        <v>8</v>
      </c>
      <c r="B21" s="14"/>
      <c r="C21" s="35"/>
      <c r="D21" s="138"/>
      <c r="E21" s="139"/>
      <c r="F21" s="139"/>
      <c r="G21" s="134"/>
      <c r="H21" s="67"/>
      <c r="I21" s="67"/>
      <c r="J21" s="68"/>
      <c r="K21" s="67"/>
      <c r="L21" s="67"/>
      <c r="M21" s="67"/>
      <c r="N21" s="67"/>
      <c r="O21" s="67"/>
      <c r="P21" s="73"/>
      <c r="Q21" s="73"/>
      <c r="R21" s="73"/>
      <c r="S21" s="73"/>
      <c r="T21" s="69"/>
      <c r="U21" s="68"/>
      <c r="V21" s="70"/>
      <c r="W21" s="67"/>
    </row>
    <row r="22" spans="1:23" x14ac:dyDescent="0.35">
      <c r="A22">
        <v>9</v>
      </c>
      <c r="B22" s="14"/>
      <c r="C22" s="35"/>
      <c r="D22" s="138"/>
      <c r="E22" s="135"/>
      <c r="F22" s="135"/>
      <c r="G22" s="67"/>
      <c r="H22" s="67"/>
      <c r="I22" s="67"/>
      <c r="J22" s="68"/>
      <c r="K22" s="67"/>
      <c r="L22" s="67"/>
      <c r="M22" s="67"/>
      <c r="N22" s="67"/>
      <c r="O22" s="67"/>
      <c r="P22" s="73"/>
      <c r="Q22" s="73"/>
      <c r="R22" s="73"/>
      <c r="S22" s="73"/>
      <c r="T22" s="69"/>
      <c r="U22" s="68"/>
      <c r="V22" s="70"/>
      <c r="W22" s="67"/>
    </row>
    <row r="23" spans="1:23" x14ac:dyDescent="0.35">
      <c r="A23">
        <v>10</v>
      </c>
      <c r="B23" s="14"/>
      <c r="C23" s="13"/>
      <c r="D23" s="138"/>
      <c r="E23" s="136"/>
      <c r="F23" s="135"/>
      <c r="G23" s="67"/>
      <c r="H23" s="67"/>
      <c r="I23" s="67"/>
      <c r="J23" s="68"/>
      <c r="K23" s="67"/>
      <c r="L23" s="67"/>
      <c r="M23" s="67"/>
      <c r="N23" s="67"/>
      <c r="O23" s="67"/>
      <c r="P23" s="73"/>
      <c r="Q23" s="73"/>
      <c r="R23" s="73"/>
      <c r="S23" s="73"/>
      <c r="T23" s="69"/>
      <c r="U23" s="68"/>
      <c r="V23" s="70"/>
      <c r="W23" s="67"/>
    </row>
    <row r="24" spans="1:23" x14ac:dyDescent="0.35">
      <c r="A24">
        <v>11</v>
      </c>
      <c r="B24" s="14"/>
      <c r="C24" s="13"/>
      <c r="D24" s="138"/>
      <c r="E24" s="137"/>
      <c r="F24" s="137"/>
      <c r="G24" s="67"/>
      <c r="H24" s="67"/>
      <c r="I24" s="67"/>
      <c r="J24" s="68"/>
      <c r="K24" s="67"/>
      <c r="L24" s="67"/>
      <c r="M24" s="67"/>
      <c r="N24" s="67"/>
      <c r="O24" s="67"/>
      <c r="P24" s="73"/>
      <c r="Q24" s="73"/>
      <c r="R24" s="73"/>
      <c r="S24" s="73"/>
      <c r="T24" s="69"/>
      <c r="U24" s="68"/>
      <c r="V24" s="70"/>
      <c r="W24" s="67"/>
    </row>
    <row r="25" spans="1:23" x14ac:dyDescent="0.35">
      <c r="A25">
        <v>12</v>
      </c>
      <c r="B25" s="14"/>
      <c r="C25" s="13"/>
      <c r="D25" s="138"/>
      <c r="E25" s="135"/>
      <c r="F25" s="135"/>
      <c r="G25" s="67"/>
      <c r="H25" s="67"/>
      <c r="I25" s="67"/>
      <c r="J25" s="68"/>
      <c r="K25" s="67"/>
      <c r="L25" s="67"/>
      <c r="M25" s="67"/>
      <c r="N25" s="67"/>
      <c r="O25" s="67"/>
      <c r="P25" s="73"/>
      <c r="Q25" s="73"/>
      <c r="R25" s="73"/>
      <c r="S25" s="73"/>
      <c r="T25" s="69"/>
      <c r="U25" s="68"/>
      <c r="V25" s="70"/>
      <c r="W25" s="67"/>
    </row>
    <row r="26" spans="1:23" x14ac:dyDescent="0.35">
      <c r="A26">
        <v>13</v>
      </c>
      <c r="B26" s="14"/>
      <c r="C26" s="13"/>
      <c r="D26" s="138"/>
      <c r="E26" s="136"/>
      <c r="F26" s="135"/>
      <c r="G26" s="67"/>
      <c r="H26" s="67"/>
      <c r="I26" s="67"/>
      <c r="J26" s="68"/>
      <c r="K26" s="67"/>
      <c r="L26" s="67"/>
      <c r="M26" s="67"/>
      <c r="N26" s="67"/>
      <c r="O26" s="67"/>
      <c r="P26" s="73"/>
      <c r="Q26" s="73"/>
      <c r="R26" s="73"/>
      <c r="S26" s="73"/>
      <c r="T26" s="69"/>
      <c r="U26" s="68"/>
      <c r="V26" s="70"/>
      <c r="W26" s="67"/>
    </row>
    <row r="27" spans="1:23" x14ac:dyDescent="0.35">
      <c r="A27">
        <v>14</v>
      </c>
      <c r="B27" s="14"/>
      <c r="C27" s="13"/>
      <c r="D27" s="138"/>
      <c r="E27" s="137"/>
      <c r="F27" s="137"/>
      <c r="G27" s="67"/>
      <c r="H27" s="67"/>
      <c r="I27" s="67"/>
      <c r="J27" s="68"/>
      <c r="K27" s="67"/>
      <c r="L27" s="67"/>
      <c r="M27" s="67"/>
      <c r="N27" s="67"/>
      <c r="O27" s="67"/>
      <c r="P27" s="73"/>
      <c r="Q27" s="73"/>
      <c r="R27" s="73"/>
      <c r="S27" s="73"/>
      <c r="T27" s="69"/>
      <c r="U27" s="68"/>
      <c r="V27" s="70"/>
      <c r="W27" s="67"/>
    </row>
    <row r="28" spans="1:23" x14ac:dyDescent="0.35">
      <c r="A28">
        <v>15</v>
      </c>
      <c r="B28" s="14"/>
      <c r="C28" s="13"/>
      <c r="D28" s="138"/>
      <c r="E28" s="135"/>
      <c r="F28" s="135"/>
      <c r="G28" s="67"/>
      <c r="H28" s="67"/>
      <c r="I28" s="67"/>
      <c r="J28" s="68"/>
      <c r="K28" s="67"/>
      <c r="L28" s="67"/>
      <c r="M28" s="67"/>
      <c r="N28" s="67"/>
      <c r="O28" s="67"/>
      <c r="P28" s="73"/>
      <c r="Q28" s="73"/>
      <c r="R28" s="73"/>
      <c r="S28" s="73"/>
      <c r="T28" s="69"/>
      <c r="U28" s="68"/>
      <c r="V28" s="70"/>
      <c r="W28" s="67"/>
    </row>
    <row r="29" spans="1:23" x14ac:dyDescent="0.35">
      <c r="A29">
        <v>16</v>
      </c>
      <c r="B29" s="14"/>
      <c r="C29" s="13"/>
      <c r="D29" s="138"/>
      <c r="E29" s="136"/>
      <c r="F29" s="135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</row>
    <row r="30" spans="1:23" x14ac:dyDescent="0.35">
      <c r="A30">
        <v>17</v>
      </c>
      <c r="B30" s="14"/>
      <c r="C30" s="13"/>
      <c r="D30" s="17"/>
      <c r="E30" s="15"/>
      <c r="F30" s="15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</row>
    <row r="31" spans="1:23" x14ac:dyDescent="0.35">
      <c r="A31">
        <v>18</v>
      </c>
      <c r="B31" s="14"/>
      <c r="C31" s="13"/>
      <c r="D31" s="17"/>
      <c r="E31" s="15"/>
      <c r="F31" s="15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</row>
    <row r="32" spans="1:23" x14ac:dyDescent="0.35">
      <c r="A32">
        <v>19</v>
      </c>
      <c r="B32" s="14"/>
      <c r="C32" s="13"/>
      <c r="D32" s="17"/>
      <c r="E32" s="15"/>
      <c r="F32" s="15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</row>
    <row r="33" spans="1:23" x14ac:dyDescent="0.35">
      <c r="A33">
        <v>20</v>
      </c>
      <c r="B33" s="14"/>
      <c r="C33" s="13"/>
      <c r="D33" s="17"/>
      <c r="E33" s="15"/>
      <c r="F33" s="15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</row>
    <row r="34" spans="1:23" x14ac:dyDescent="0.35">
      <c r="A34">
        <v>21</v>
      </c>
      <c r="B34" s="14"/>
      <c r="C34" s="13"/>
      <c r="D34" s="17"/>
      <c r="E34" s="15"/>
      <c r="F34" s="15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</row>
  </sheetData>
  <mergeCells count="1">
    <mergeCell ref="E9:W9"/>
  </mergeCells>
  <pageMargins left="0.7" right="0.7" top="0.75" bottom="0.75" header="0.3" footer="0.3"/>
  <pageSetup orientation="portrait" r:id="rId1"/>
  <headerFooter>
    <oddHeader>&amp;R&amp;"Calibri"&amp;10&amp;K000000Highly Restricted&amp;1#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956D52-29B1-4BF8-B8A1-472290D262F0}">
          <x14:formula1>
            <xm:f>Ingredients!$A$3:$A$1048576</xm:f>
          </x14:formula1>
          <xm:sqref>B14:B34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AFD9-F4E1-4A0E-9859-A0CA5A687050}">
  <dimension ref="A1:K68"/>
  <sheetViews>
    <sheetView zoomScale="80" zoomScaleNormal="80" workbookViewId="0">
      <selection activeCell="C13" sqref="C13"/>
    </sheetView>
  </sheetViews>
  <sheetFormatPr defaultColWidth="9.1796875" defaultRowHeight="14.5" x14ac:dyDescent="0.35"/>
  <cols>
    <col min="1" max="1" width="17.453125" bestFit="1" customWidth="1"/>
    <col min="2" max="2" width="9.81640625" bestFit="1" customWidth="1"/>
    <col min="3" max="3" width="30.54296875" bestFit="1" customWidth="1"/>
    <col min="4" max="4" width="33" customWidth="1"/>
    <col min="5" max="5" width="31.54296875" bestFit="1" customWidth="1"/>
    <col min="6" max="6" width="26.453125" customWidth="1"/>
    <col min="7" max="7" width="27.1796875" customWidth="1"/>
    <col min="8" max="8" width="23.54296875" customWidth="1"/>
    <col min="9" max="9" width="6.81640625" bestFit="1" customWidth="1"/>
    <col min="10" max="10" width="8.54296875" customWidth="1"/>
    <col min="11" max="11" width="9.54296875" bestFit="1" customWidth="1"/>
    <col min="12" max="12" width="7.54296875" bestFit="1" customWidth="1"/>
    <col min="13" max="13" width="8.81640625" bestFit="1" customWidth="1"/>
    <col min="14" max="14" width="8.1796875" bestFit="1" customWidth="1"/>
    <col min="15" max="15" width="9.453125" bestFit="1" customWidth="1"/>
    <col min="16" max="16" width="8.1796875" bestFit="1" customWidth="1"/>
    <col min="17" max="17" width="7.54296875" bestFit="1" customWidth="1"/>
  </cols>
  <sheetData>
    <row r="1" spans="1:9" x14ac:dyDescent="0.35">
      <c r="A1" s="13" t="s">
        <v>36</v>
      </c>
    </row>
    <row r="2" spans="1:9" x14ac:dyDescent="0.35">
      <c r="A2" t="s">
        <v>94</v>
      </c>
      <c r="B2" s="13" t="s">
        <v>260</v>
      </c>
      <c r="D2" t="str">
        <f>A2&amp;" "&amp; B2</f>
        <v>Formulation Arches Caps</v>
      </c>
      <c r="G2" cm="1">
        <f t="array" aca="1" ref="G2" ca="1">INDIRECT("'"&amp;D2&amp;"'!C7")</f>
        <v>1.86</v>
      </c>
      <c r="H2" t="s">
        <v>46</v>
      </c>
      <c r="I2" t="s">
        <v>99</v>
      </c>
    </row>
    <row r="3" spans="1:9" x14ac:dyDescent="0.35">
      <c r="A3" t="str">
        <f>'Formulation STOF2'!B6</f>
        <v>Smooth Texture Sugar Free Orange Natural Dyes</v>
      </c>
      <c r="D3" t="s">
        <v>44</v>
      </c>
      <c r="E3" t="s">
        <v>45</v>
      </c>
      <c r="G3" s="27" cm="1">
        <f t="array" aca="1" ref="G3" ca="1">INDIRECT("'"&amp;D2&amp;"'!D6")</f>
        <v>12</v>
      </c>
      <c r="H3" t="s">
        <v>46</v>
      </c>
      <c r="I3" t="s">
        <v>100</v>
      </c>
    </row>
    <row r="5" spans="1:9" ht="15.5" x14ac:dyDescent="0.35">
      <c r="A5" s="146" t="s">
        <v>104</v>
      </c>
      <c r="B5" t="s">
        <v>101</v>
      </c>
      <c r="C5" s="18">
        <f ca="1">(4*F24)+(4*C10)+(9*C31)</f>
        <v>5.7753395808000008</v>
      </c>
      <c r="D5" s="50" t="s">
        <v>95</v>
      </c>
      <c r="E5" s="74" t="s">
        <v>96</v>
      </c>
      <c r="F5" s="74" t="s">
        <v>98</v>
      </c>
    </row>
    <row r="6" spans="1:9" ht="15.5" x14ac:dyDescent="0.35">
      <c r="A6" s="146"/>
      <c r="B6" t="s">
        <v>102</v>
      </c>
      <c r="C6" s="18">
        <f ca="1">(4*F24)+(9*C31)+(4*(C10-D10))+(2*D10)</f>
        <v>2.599925260800001</v>
      </c>
      <c r="D6" s="50" t="s">
        <v>95</v>
      </c>
      <c r="E6" s="74" t="s">
        <v>97</v>
      </c>
      <c r="F6" s="74" t="s">
        <v>115</v>
      </c>
    </row>
    <row r="7" spans="1:9" ht="15.5" x14ac:dyDescent="0.35">
      <c r="A7" s="146"/>
      <c r="B7" t="s">
        <v>103</v>
      </c>
      <c r="C7" s="18">
        <f ca="1">(4*F24)+(9*C31)+(4*(C10-D10))+(2*E10)</f>
        <v>1.6458531408000012</v>
      </c>
      <c r="D7" s="50" t="s">
        <v>95</v>
      </c>
      <c r="E7" s="74" t="s">
        <v>97</v>
      </c>
      <c r="F7" s="74" t="s">
        <v>116</v>
      </c>
    </row>
    <row r="8" spans="1:9" s="51" customFormat="1" ht="7" customHeight="1" x14ac:dyDescent="0.35">
      <c r="C8" s="52"/>
      <c r="D8" s="53"/>
      <c r="E8" s="53"/>
    </row>
    <row r="9" spans="1:9" ht="30" customHeight="1" x14ac:dyDescent="0.35">
      <c r="A9" s="150" t="s">
        <v>49</v>
      </c>
      <c r="B9" s="18"/>
      <c r="C9" s="48" t="str" cm="1">
        <f t="array" aca="1" ref="C9" ca="1">INDIRECT("'"&amp;D2&amp;"'!K13")</f>
        <v>Total carbohydrate</v>
      </c>
      <c r="D9" s="49" t="str" cm="1">
        <f t="array" aca="1" ref="D9" ca="1">INDIRECT("'"&amp;D2&amp;"'!L13")</f>
        <v>Total dietary fiber</v>
      </c>
      <c r="E9" s="49" t="str" cm="1">
        <f t="array" aca="1" ref="E9" ca="1">INDIRECT("'"&amp;D2&amp;"'!M13")</f>
        <v>Soluble fiber</v>
      </c>
    </row>
    <row r="10" spans="1:9" x14ac:dyDescent="0.35">
      <c r="A10" s="150"/>
      <c r="B10" s="18" t="s">
        <v>50</v>
      </c>
      <c r="C10" s="21" cm="1">
        <f t="array" aca="1" ref="C10" ca="1">INDIRECT("'"&amp;D2&amp;"'!K8")</f>
        <v>1.3716114300000002</v>
      </c>
      <c r="D10" s="21" cm="1">
        <f t="array" aca="1" ref="D10" ca="1">INDIRECT("'"&amp;D2&amp;"'!L8")</f>
        <v>1.5877071599999999</v>
      </c>
      <c r="E10" s="21" cm="1">
        <f t="array" aca="1" ref="E10" ca="1">INDIRECT("'"&amp;D2&amp;"'!M8")</f>
        <v>1.1106711</v>
      </c>
    </row>
    <row r="11" spans="1:9" x14ac:dyDescent="0.35">
      <c r="A11" s="150"/>
      <c r="B11" s="18" t="s">
        <v>51</v>
      </c>
      <c r="C11" s="21">
        <v>275</v>
      </c>
      <c r="D11" s="21">
        <v>28</v>
      </c>
      <c r="E11" s="21" t="s">
        <v>52</v>
      </c>
    </row>
    <row r="12" spans="1:9" x14ac:dyDescent="0.35">
      <c r="A12" s="150"/>
      <c r="B12" s="18" t="s">
        <v>53</v>
      </c>
      <c r="C12" s="26">
        <f ca="1">C10/C11</f>
        <v>4.9876779272727276E-3</v>
      </c>
      <c r="D12" s="26">
        <f ca="1">D10/D11</f>
        <v>5.6703827142857141E-2</v>
      </c>
      <c r="E12" s="26" t="s">
        <v>52</v>
      </c>
    </row>
    <row r="13" spans="1:9" ht="127" customHeight="1" x14ac:dyDescent="0.35">
      <c r="A13" s="150"/>
      <c r="B13" s="18"/>
      <c r="C13" s="1" t="str">
        <f>'Nutrition STONF'!C13</f>
        <v>&lt; 0.5g - express as 0
&lt; 1g - express as "contains less than 1g" or "less than 1g"
≥1g - express to nearest 1g increment
Insignificant amount is &lt; 1g</v>
      </c>
      <c r="D13" s="1" t="str">
        <f>'Nutrition STONF'!D13</f>
        <v>&lt; 0.5g - express as 0
&lt; 1g - express as "contains less than 1g" or "less than 1g"
≥1g - express to nearest 1g increment
Insignificant amount is &lt; 1g</v>
      </c>
      <c r="E13" s="1" t="str">
        <f>'Nutrition STONF'!E13</f>
        <v>- Label value  based on calculation of psyllium being 70% soluble fiber (3.4g psyllium * 0.70 = 2.4g)
&lt; 0.5g - express as 0
&lt; 1g - express as "contains less than 1g" or "less than 1g"
≥1g - express to nearest 1g increment
Insignificant amount is &lt; 0.5g</v>
      </c>
    </row>
    <row r="14" spans="1:9" x14ac:dyDescent="0.35">
      <c r="A14" s="150"/>
      <c r="B14" s="18" t="s">
        <v>56</v>
      </c>
      <c r="C14" s="31" t="s">
        <v>266</v>
      </c>
      <c r="D14" s="31" t="s">
        <v>59</v>
      </c>
      <c r="E14" s="31" t="s">
        <v>266</v>
      </c>
    </row>
    <row r="16" spans="1:9" x14ac:dyDescent="0.35">
      <c r="A16" s="150" t="s">
        <v>49</v>
      </c>
      <c r="B16" s="18"/>
      <c r="C16" s="19" t="str" cm="1">
        <f t="array" aca="1" ref="C16" ca="1">INDIRECT("'"&amp;D2&amp;"'!P13")</f>
        <v xml:space="preserve">Iron </v>
      </c>
      <c r="D16" s="19" t="str" cm="1">
        <f t="array" aca="1" ref="D16" ca="1">INDIRECT("'"&amp;D2&amp;"'!Q13")</f>
        <v>Potassium</v>
      </c>
      <c r="E16" s="19" t="str" cm="1">
        <f t="array" aca="1" ref="E16" ca="1">INDIRECT("'"&amp;D2&amp;"'!S13")</f>
        <v>Calcium</v>
      </c>
    </row>
    <row r="17" spans="1:6" x14ac:dyDescent="0.35">
      <c r="A17" s="150"/>
      <c r="B17" s="18" t="s">
        <v>50</v>
      </c>
      <c r="C17" s="22" cm="1">
        <f t="array" aca="1" ref="C17" ca="1">INDIRECT("'"&amp;D2&amp;"'!P8")</f>
        <v>0.12572855999999999</v>
      </c>
      <c r="D17" s="22" cm="1">
        <f t="array" aca="1" ref="D17" ca="1">INDIRECT("'"&amp;D2&amp;"'!Q8")</f>
        <v>13.690995000000001</v>
      </c>
      <c r="E17" s="22" cm="1">
        <f t="array" aca="1" ref="E17" ca="1">INDIRECT("'"&amp;D2&amp;"'!S8")</f>
        <v>2.7682006139999995</v>
      </c>
    </row>
    <row r="18" spans="1:6" x14ac:dyDescent="0.35">
      <c r="A18" s="150"/>
      <c r="B18" s="18" t="s">
        <v>51</v>
      </c>
      <c r="C18" s="22">
        <v>18</v>
      </c>
      <c r="D18" s="22">
        <v>4700</v>
      </c>
      <c r="E18" s="22">
        <v>1300</v>
      </c>
    </row>
    <row r="19" spans="1:6" x14ac:dyDescent="0.35">
      <c r="A19" s="150"/>
      <c r="B19" s="18" t="s">
        <v>53</v>
      </c>
      <c r="C19" s="26">
        <f ca="1">C17/C18</f>
        <v>6.9849199999999995E-3</v>
      </c>
      <c r="D19" s="26">
        <f t="shared" ref="D19:E19" ca="1" si="0">D17/D18</f>
        <v>2.9129776595744681E-3</v>
      </c>
      <c r="E19" s="26">
        <f t="shared" ca="1" si="0"/>
        <v>2.1293850876923071E-3</v>
      </c>
    </row>
    <row r="20" spans="1:6" ht="39" x14ac:dyDescent="0.35">
      <c r="A20" s="150"/>
      <c r="B20" s="18"/>
      <c r="C20" s="1" t="str">
        <f>'Nutrition STONF'!C20</f>
        <v>&lt;2% DV: shall not be declared 
&gt; 2% DV: round to nearest 0.1 mg and round to nearest % DV</v>
      </c>
      <c r="D20" s="1" t="str">
        <f>'Nutrition STONF'!D20</f>
        <v>&lt;2% DV: shall not be declared 
&gt; 2% DV: round to nearest 10 mg and round to nearest % DV</v>
      </c>
      <c r="E20" s="1" t="str">
        <f>'Nutrition STONF'!E20</f>
        <v>&lt;2% DV: shall not be declared 
&gt; 2% DV: round to nearest 10 mg and round to nearest % DV</v>
      </c>
    </row>
    <row r="21" spans="1:6" x14ac:dyDescent="0.35">
      <c r="A21" s="150"/>
      <c r="B21" s="18" t="s">
        <v>56</v>
      </c>
      <c r="C21" s="31" t="s">
        <v>140</v>
      </c>
      <c r="D21" s="31" t="s">
        <v>265</v>
      </c>
      <c r="E21" s="31" t="s">
        <v>131</v>
      </c>
    </row>
    <row r="23" spans="1:6" x14ac:dyDescent="0.35">
      <c r="A23" s="150" t="s">
        <v>49</v>
      </c>
      <c r="B23" s="18"/>
      <c r="C23" s="19" t="str" cm="1">
        <f t="array" aca="1" ref="C23" ca="1">INDIRECT("'"&amp;D2&amp;"'!T13")</f>
        <v>Vitamin A</v>
      </c>
      <c r="D23" s="19" t="str" cm="1">
        <f t="array" aca="1" ref="D23" ca="1">INDIRECT("'"&amp;D2&amp;"'!U13")</f>
        <v>Vitamin C</v>
      </c>
      <c r="E23" s="19" t="str" cm="1">
        <f t="array" aca="1" ref="E23" ca="1">INDIRECT("'"&amp;D2&amp;"'!V13")</f>
        <v>Vitamin D</v>
      </c>
      <c r="F23" s="19" t="str" cm="1">
        <f t="array" aca="1" ref="F23" ca="1">INDIRECT("'"&amp;D2&amp;"'!W13")</f>
        <v>Protein</v>
      </c>
    </row>
    <row r="24" spans="1:6" x14ac:dyDescent="0.35">
      <c r="A24" s="150"/>
      <c r="B24" s="18" t="s">
        <v>50</v>
      </c>
      <c r="C24" s="23" cm="1">
        <f t="array" aca="1" ref="C24" ca="1">INDIRECT("'"&amp;D2&amp;"'!T8")</f>
        <v>0</v>
      </c>
      <c r="D24" s="24" cm="1">
        <f t="array" aca="1" ref="D24" ca="1">INDIRECT("'"&amp;D2&amp;"'!U8")</f>
        <v>0</v>
      </c>
      <c r="E24" s="24" cm="1">
        <f t="array" aca="1" ref="E24" ca="1">INDIRECT("'"&amp;D2&amp;"'!V8")</f>
        <v>0</v>
      </c>
      <c r="F24" s="21" cm="1">
        <f t="array" aca="1" ref="F24" ca="1">INDIRECT("'"&amp;D2&amp;"'!W8")</f>
        <v>3.3924856199999999E-2</v>
      </c>
    </row>
    <row r="25" spans="1:6" x14ac:dyDescent="0.35">
      <c r="A25" s="150"/>
      <c r="B25" s="18" t="s">
        <v>51</v>
      </c>
      <c r="C25" s="26" t="s">
        <v>52</v>
      </c>
      <c r="D25" s="26" t="s">
        <v>52</v>
      </c>
      <c r="E25" s="26">
        <v>0.2</v>
      </c>
      <c r="F25" s="26" t="s">
        <v>52</v>
      </c>
    </row>
    <row r="26" spans="1:6" x14ac:dyDescent="0.35">
      <c r="A26" s="150"/>
      <c r="B26" s="18" t="s">
        <v>53</v>
      </c>
      <c r="C26" s="26" t="s">
        <v>52</v>
      </c>
      <c r="D26" s="26" t="s">
        <v>52</v>
      </c>
      <c r="E26" s="26">
        <f t="shared" ref="E26" ca="1" si="1">E24/E25</f>
        <v>0</v>
      </c>
      <c r="F26" s="26" t="s">
        <v>52</v>
      </c>
    </row>
    <row r="27" spans="1:6" ht="78" x14ac:dyDescent="0.35">
      <c r="A27" s="150"/>
      <c r="B27" s="18"/>
      <c r="C27" s="1" t="str">
        <f>'Nutrition STONF'!C27</f>
        <v>&lt;2% DV: shall not be declared 
&gt; 2% DV: round to nearest 10 mcg RAE and round to nearest % DV</v>
      </c>
      <c r="D27" s="1" t="str">
        <f>'Nutrition STONF'!D27</f>
        <v>&lt;2% DV: shall not be declared 
&gt; 2% DV: round to nearest 1 mg and round to nearest % DV</v>
      </c>
      <c r="E27" s="1" t="str">
        <f>'Nutrition STONF'!E27</f>
        <v>&lt;2% DV: shall not be declared 
&gt; 2% DV: round to nearest 0.1 mcg and round to nearest % DV</v>
      </c>
      <c r="F27" s="1" t="str">
        <f>'Nutrition STONF'!F27</f>
        <v>&lt; 0.5g - express as 0
&lt; 1g - express as "contains less than 1g" or "less than 1g"
≥1g - express to nearest 1g increment
Insignificant amount is &lt; 0.5g</v>
      </c>
    </row>
    <row r="28" spans="1:6" x14ac:dyDescent="0.35">
      <c r="A28" s="150"/>
      <c r="B28" s="18" t="s">
        <v>56</v>
      </c>
      <c r="C28" s="31" t="s">
        <v>238</v>
      </c>
      <c r="D28" s="31" t="s">
        <v>62</v>
      </c>
      <c r="E28" s="31">
        <v>0</v>
      </c>
      <c r="F28" s="31" t="s">
        <v>63</v>
      </c>
    </row>
    <row r="30" spans="1:6" x14ac:dyDescent="0.35">
      <c r="A30" s="149" t="s">
        <v>64</v>
      </c>
      <c r="B30" s="18"/>
      <c r="C30" s="19" t="s">
        <v>6</v>
      </c>
      <c r="D30" s="19" t="s">
        <v>7</v>
      </c>
      <c r="E30" s="19" t="s">
        <v>8</v>
      </c>
      <c r="F30" s="19" t="s">
        <v>9</v>
      </c>
    </row>
    <row r="31" spans="1:6" x14ac:dyDescent="0.35">
      <c r="A31" s="149"/>
      <c r="B31" s="18" t="s">
        <v>50</v>
      </c>
      <c r="C31" s="21" cm="1">
        <f t="array" aca="1" ref="C31" ca="1">INDIRECT("'"&amp;D2&amp;"'!G8")</f>
        <v>1.7021603999999999E-2</v>
      </c>
      <c r="D31" s="21" cm="1">
        <f t="array" aca="1" ref="D31" ca="1">INDIRECT("'"&amp;D2&amp;"'!H8")</f>
        <v>2.9566931999999999E-3</v>
      </c>
      <c r="E31" s="21" cm="1">
        <f t="array" aca="1" ref="E31" ca="1">INDIRECT("'"&amp;D2&amp;"'!I8")</f>
        <v>5.6915999999999995E-5</v>
      </c>
      <c r="F31" s="21" cm="1">
        <f t="array" aca="1" ref="F31" ca="1">INDIRECT("'"&amp;D2&amp;"'!J8")</f>
        <v>0</v>
      </c>
    </row>
    <row r="32" spans="1:6" x14ac:dyDescent="0.35">
      <c r="A32" s="149"/>
      <c r="B32" s="18" t="s">
        <v>51</v>
      </c>
      <c r="C32" s="21" t="s">
        <v>52</v>
      </c>
      <c r="D32" s="21" t="s">
        <v>52</v>
      </c>
      <c r="E32" s="21" t="s">
        <v>52</v>
      </c>
      <c r="F32" s="21" t="s">
        <v>52</v>
      </c>
    </row>
    <row r="33" spans="1:11" x14ac:dyDescent="0.35">
      <c r="A33" s="149"/>
      <c r="B33" s="18" t="s">
        <v>53</v>
      </c>
      <c r="C33" s="26" t="s">
        <v>52</v>
      </c>
      <c r="D33" s="26" t="s">
        <v>52</v>
      </c>
      <c r="E33" s="26" t="s">
        <v>52</v>
      </c>
      <c r="F33" s="26" t="s">
        <v>52</v>
      </c>
    </row>
    <row r="34" spans="1:11" ht="73.400000000000006" customHeight="1" x14ac:dyDescent="0.35">
      <c r="A34" s="149"/>
      <c r="B34" s="18"/>
      <c r="C34" s="1" t="str">
        <f>'Nutrition STONF'!C34</f>
        <v xml:space="preserve">&lt; 0.5g - express as 0
&lt; 5 g - nearest 0.5 g increment
&gt; 5 g: nearest 1 g increment
</v>
      </c>
      <c r="D34" s="1" t="str">
        <f>'Nutrition STONF'!D34</f>
        <v xml:space="preserve">&lt; 0.5g - express as 0
&lt; 5 g - nearest 0.5 g increment
&gt; 5 g: nearest 1 g increment
</v>
      </c>
      <c r="E34" s="1" t="str">
        <f>'Nutrition STONF'!E34</f>
        <v xml:space="preserve">&lt; 0.5g - express as 0
&lt; 5 g - nearest 0.5 g increment
&gt; 5 g: nearest 1 g increment
</v>
      </c>
      <c r="F34" s="1" t="str">
        <f>'Nutrition STONF'!F34</f>
        <v>&lt; 2mg: express as 0
2-5 mg: "less than 5 mg"
&gt; 5 mg: 5 mg increment</v>
      </c>
    </row>
    <row r="35" spans="1:11" x14ac:dyDescent="0.35">
      <c r="A35" s="149"/>
      <c r="B35" s="18" t="s">
        <v>56</v>
      </c>
      <c r="C35" s="31">
        <v>0</v>
      </c>
      <c r="D35" s="31">
        <v>0</v>
      </c>
      <c r="E35" s="31">
        <v>0</v>
      </c>
      <c r="F35" s="31">
        <v>0</v>
      </c>
    </row>
    <row r="37" spans="1:11" ht="30" customHeight="1" x14ac:dyDescent="0.35">
      <c r="A37" s="149" t="s">
        <v>64</v>
      </c>
      <c r="B37" s="18"/>
      <c r="C37" s="20" t="str" cm="1">
        <f t="array" aca="1" ref="C37" ca="1">INDIRECT("'"&amp;D2&amp;"'!E13")</f>
        <v>Calories (US Rules)</v>
      </c>
      <c r="D37" s="19" t="s">
        <v>5</v>
      </c>
      <c r="E37" s="19" t="str" cm="1">
        <f t="array" aca="1" ref="E37" ca="1">INDIRECT("'"&amp;D2&amp;"'!N13")</f>
        <v xml:space="preserve">Sugar </v>
      </c>
      <c r="F37" s="19" t="str" cm="1">
        <f t="array" aca="1" ref="F37" ca="1">INDIRECT("'"&amp;D2&amp;"'!O13")</f>
        <v>Added Sugars</v>
      </c>
      <c r="G37" s="19" t="str" cm="1">
        <f t="array" aca="1" ref="G37" ca="1">INDIRECT("'"&amp;D2&amp;"'!R13")</f>
        <v>Sodium</v>
      </c>
    </row>
    <row r="38" spans="1:11" x14ac:dyDescent="0.35">
      <c r="A38" s="149"/>
      <c r="B38" s="18" t="s">
        <v>50</v>
      </c>
      <c r="C38" s="20">
        <f ca="1">C7</f>
        <v>1.6458531408000012</v>
      </c>
      <c r="D38" s="20" cm="1">
        <f t="array" aca="1" ref="D38" ca="1">INDIRECT("'"&amp;D2&amp;"'!F8")</f>
        <v>6.8089652400000006E-2</v>
      </c>
      <c r="E38" s="21" cm="1">
        <f t="array" aca="1" ref="E38" ca="1">INDIRECT("'"&amp;D2&amp;"'!N8")</f>
        <v>2.5714500000000003E-3</v>
      </c>
      <c r="F38" s="21" cm="1">
        <f t="array" aca="1" ref="F38" ca="1">INDIRECT("'"&amp;D2&amp;"'!O8")</f>
        <v>0</v>
      </c>
      <c r="G38" s="22" cm="1">
        <f t="array" aca="1" ref="G38" ca="1">INDIRECT("'"&amp;D2&amp;"'!R8")</f>
        <v>1.6490099699999998</v>
      </c>
    </row>
    <row r="39" spans="1:11" x14ac:dyDescent="0.35">
      <c r="A39" s="149"/>
      <c r="B39" s="18"/>
      <c r="C39" s="20" t="s">
        <v>52</v>
      </c>
      <c r="D39" s="20" t="s">
        <v>52</v>
      </c>
      <c r="E39" s="21" t="s">
        <v>52</v>
      </c>
      <c r="F39" s="21">
        <v>50</v>
      </c>
      <c r="G39" s="22">
        <v>2300</v>
      </c>
    </row>
    <row r="40" spans="1:11" x14ac:dyDescent="0.35">
      <c r="A40" s="149"/>
      <c r="B40" s="18" t="s">
        <v>53</v>
      </c>
      <c r="C40" s="25" t="s">
        <v>52</v>
      </c>
      <c r="D40" s="25" t="s">
        <v>52</v>
      </c>
      <c r="E40" s="26" t="s">
        <v>52</v>
      </c>
      <c r="F40" s="26">
        <f t="shared" ref="F40:G40" ca="1" si="2">F38/F39</f>
        <v>0</v>
      </c>
      <c r="G40" s="26">
        <f t="shared" ca="1" si="2"/>
        <v>7.1696085652173905E-4</v>
      </c>
    </row>
    <row r="41" spans="1:11" ht="193.4" customHeight="1" x14ac:dyDescent="0.35">
      <c r="A41" s="149"/>
      <c r="B41" s="18"/>
      <c r="C41" s="1" t="str">
        <f>'Nutrition STONF'!C41</f>
        <v>&lt; 5 cal - express as 0
≤ 50 cal - express to nearest 5 cal increment
&gt; 50 cal - express to nearest 10 cal increment
Insignificant amount is &lt; 5 cal</v>
      </c>
      <c r="D41" s="1" t="str">
        <f>'Nutrition STONF'!D41</f>
        <v>Not required to be declared</v>
      </c>
      <c r="E41" s="1" t="str">
        <f>'Nutrition STONF'!E41</f>
        <v>&lt; 0.5g - express as 0
&lt; 1g - express as "contains less than 1g" or "less than 1g"
≥1g - express to nearest 1g increment
Insignificant amount is &lt; 0.5g</v>
      </c>
      <c r="F41" s="1" t="str">
        <f>'Nutrition STONF'!F41</f>
        <v>&lt; 0.5g - express as 0
&lt; 1g - express as "contains less than 1g" or "less than 1g"
≥1g - express to nearest 1g increment
Insignificant amount is &lt; 0.5g</v>
      </c>
      <c r="G41" s="1" t="str">
        <f>'Nutrition STONF'!G41</f>
        <v>&lt; 5mg - express as 0
5-140mg - express to nearest 5mg increment
&gt; 140mg - express to nearest 10mg increment
Insignificant amount is &lt; 5mg</v>
      </c>
      <c r="K41" s="32"/>
    </row>
    <row r="42" spans="1:11" x14ac:dyDescent="0.35">
      <c r="A42" s="149"/>
      <c r="B42" s="18" t="s">
        <v>56</v>
      </c>
      <c r="C42" s="31">
        <v>0</v>
      </c>
      <c r="D42" s="31">
        <v>0</v>
      </c>
      <c r="E42" s="30">
        <v>0</v>
      </c>
      <c r="F42" s="31">
        <v>0</v>
      </c>
      <c r="G42" s="31">
        <v>0</v>
      </c>
      <c r="K42" s="33"/>
    </row>
    <row r="43" spans="1:11" x14ac:dyDescent="0.35">
      <c r="A43" s="29"/>
      <c r="D43" s="28"/>
      <c r="K43" s="34"/>
    </row>
    <row r="44" spans="1:11" x14ac:dyDescent="0.35">
      <c r="D44" s="28"/>
      <c r="K44" s="34"/>
    </row>
    <row r="45" spans="1:11" x14ac:dyDescent="0.35">
      <c r="D45" s="28"/>
    </row>
    <row r="46" spans="1:11" ht="15" thickBot="1" x14ac:dyDescent="0.4">
      <c r="D46" s="28"/>
    </row>
    <row r="47" spans="1:11" x14ac:dyDescent="0.35">
      <c r="A47" s="43"/>
      <c r="B47" s="43"/>
      <c r="C47" s="113"/>
      <c r="F47" s="106"/>
      <c r="G47" s="107"/>
      <c r="H47" s="107"/>
      <c r="I47" s="107"/>
      <c r="J47" s="107"/>
      <c r="K47" s="108"/>
    </row>
    <row r="48" spans="1:11" x14ac:dyDescent="0.35">
      <c r="A48" s="42"/>
      <c r="B48" s="42"/>
      <c r="F48" s="83"/>
      <c r="K48" s="84"/>
    </row>
    <row r="49" spans="1:11" x14ac:dyDescent="0.35">
      <c r="F49" s="83"/>
      <c r="K49" s="84"/>
    </row>
    <row r="50" spans="1:11" x14ac:dyDescent="0.35">
      <c r="A50" s="9"/>
      <c r="F50" s="83"/>
      <c r="K50" s="84"/>
    </row>
    <row r="51" spans="1:11" x14ac:dyDescent="0.35">
      <c r="A51" s="9"/>
      <c r="F51" s="83"/>
      <c r="J51" s="37"/>
      <c r="K51" s="94"/>
    </row>
    <row r="52" spans="1:11" x14ac:dyDescent="0.35">
      <c r="A52" s="71"/>
      <c r="F52" s="83"/>
      <c r="J52" s="37"/>
      <c r="K52" s="94"/>
    </row>
    <row r="53" spans="1:11" x14ac:dyDescent="0.35">
      <c r="A53" s="71"/>
      <c r="F53" s="83"/>
      <c r="J53" s="37"/>
      <c r="K53" s="94"/>
    </row>
    <row r="54" spans="1:11" x14ac:dyDescent="0.35">
      <c r="A54" s="71"/>
      <c r="F54" s="83"/>
      <c r="J54" s="37"/>
      <c r="K54" s="94"/>
    </row>
    <row r="55" spans="1:11" x14ac:dyDescent="0.35">
      <c r="A55" s="71"/>
      <c r="F55" s="83"/>
      <c r="J55" s="37"/>
      <c r="K55" s="94"/>
    </row>
    <row r="56" spans="1:11" x14ac:dyDescent="0.35">
      <c r="A56" s="71"/>
      <c r="F56" s="83"/>
      <c r="J56" s="37"/>
      <c r="K56" s="94"/>
    </row>
    <row r="57" spans="1:11" x14ac:dyDescent="0.35">
      <c r="A57" s="71"/>
      <c r="F57" s="83"/>
      <c r="J57" s="37"/>
      <c r="K57" s="94"/>
    </row>
    <row r="58" spans="1:11" x14ac:dyDescent="0.35">
      <c r="A58" s="71"/>
      <c r="F58" s="83"/>
      <c r="J58" s="37"/>
      <c r="K58" s="94"/>
    </row>
    <row r="59" spans="1:11" x14ac:dyDescent="0.35">
      <c r="A59" s="71"/>
      <c r="F59" s="83"/>
      <c r="J59" s="37"/>
      <c r="K59" s="94"/>
    </row>
    <row r="60" spans="1:11" x14ac:dyDescent="0.35">
      <c r="A60" s="71"/>
      <c r="F60" s="83"/>
      <c r="J60" s="37"/>
      <c r="K60" s="94"/>
    </row>
    <row r="61" spans="1:11" x14ac:dyDescent="0.35">
      <c r="A61" s="71"/>
      <c r="F61" s="83"/>
      <c r="J61" s="37"/>
      <c r="K61" s="94"/>
    </row>
    <row r="62" spans="1:11" x14ac:dyDescent="0.35">
      <c r="A62" s="71"/>
      <c r="F62" s="83"/>
      <c r="J62" s="37"/>
      <c r="K62" s="94"/>
    </row>
    <row r="63" spans="1:11" x14ac:dyDescent="0.35">
      <c r="A63" s="71"/>
      <c r="F63" s="83"/>
      <c r="J63" s="37"/>
      <c r="K63" s="94"/>
    </row>
    <row r="64" spans="1:11" x14ac:dyDescent="0.35">
      <c r="A64" s="71"/>
      <c r="F64" s="83"/>
      <c r="J64" s="37"/>
      <c r="K64" s="94"/>
    </row>
    <row r="65" spans="1:11" x14ac:dyDescent="0.35">
      <c r="A65" s="71"/>
      <c r="F65" s="83"/>
      <c r="J65" s="37"/>
      <c r="K65" s="94"/>
    </row>
    <row r="66" spans="1:11" ht="15" thickBot="1" x14ac:dyDescent="0.4">
      <c r="A66" s="71"/>
      <c r="F66" s="109"/>
      <c r="G66" s="110"/>
      <c r="H66" s="110"/>
      <c r="I66" s="110"/>
      <c r="J66" s="111"/>
      <c r="K66" s="112"/>
    </row>
    <row r="67" spans="1:11" x14ac:dyDescent="0.35">
      <c r="A67" s="71"/>
    </row>
    <row r="68" spans="1:11" x14ac:dyDescent="0.35">
      <c r="A68" s="71"/>
    </row>
  </sheetData>
  <mergeCells count="6">
    <mergeCell ref="A37:A42"/>
    <mergeCell ref="A5:A7"/>
    <mergeCell ref="A9:A14"/>
    <mergeCell ref="A16:A21"/>
    <mergeCell ref="A23:A28"/>
    <mergeCell ref="A30:A35"/>
  </mergeCells>
  <pageMargins left="0.7" right="0.7" top="0.75" bottom="0.75" header="0.3" footer="0.3"/>
  <pageSetup orientation="portrait" r:id="rId1"/>
  <headerFooter>
    <oddHeader>&amp;R&amp;"Calibri"&amp;10&amp;K000000Highly Restricted&amp;1#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Formula list and Reference Docs</vt:lpstr>
      <vt:lpstr>Ingredients</vt:lpstr>
      <vt:lpstr>COMPARISON</vt:lpstr>
      <vt:lpstr>Formulation STONF</vt:lpstr>
      <vt:lpstr>Nutrition STONF</vt:lpstr>
      <vt:lpstr>Formulation STONF2</vt:lpstr>
      <vt:lpstr>Nutrition STONF2</vt:lpstr>
      <vt:lpstr>Formulation Saguaro</vt:lpstr>
      <vt:lpstr>Nutrition Saguaro</vt:lpstr>
      <vt:lpstr>Formulation STOF2</vt:lpstr>
      <vt:lpstr>Nutrition STOF2</vt:lpstr>
      <vt:lpstr>Formulation STOF</vt:lpstr>
      <vt:lpstr>Nutrition STOF</vt:lpstr>
      <vt:lpstr>Formulation STOS</vt:lpstr>
      <vt:lpstr>Nutrition STOS</vt:lpstr>
      <vt:lpstr>Formulation STOS2</vt:lpstr>
      <vt:lpstr>Nutrition STOS2</vt:lpstr>
      <vt:lpstr>Formulation STR</vt:lpstr>
      <vt:lpstr>Nutrition STR</vt:lpstr>
      <vt:lpstr>Formulation STCFX</vt:lpstr>
      <vt:lpstr>Nutrition STCFX</vt:lpstr>
      <vt:lpstr>Formulation STCF</vt:lpstr>
      <vt:lpstr>Nutrition STCF</vt:lpstr>
      <vt:lpstr>Formulation STONFC</vt:lpstr>
      <vt:lpstr>Nutrition STONFC</vt:lpstr>
      <vt:lpstr>Formulation OTO</vt:lpstr>
      <vt:lpstr>Nutrition OTO</vt:lpstr>
      <vt:lpstr>Formulation OTR</vt:lpstr>
      <vt:lpstr>Nutrition OTR</vt:lpstr>
      <vt:lpstr>Formulation Husky</vt:lpstr>
      <vt:lpstr>Nutrition Husky</vt:lpstr>
      <vt:lpstr>Net contents calculation</vt:lpstr>
      <vt:lpstr>Formulation Arches Caps</vt:lpstr>
      <vt:lpstr>Nutrition Arches Caps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Kaczanowski, Matt</dc:creator>
  <cp:keywords/>
  <dc:description/>
  <cp:lastModifiedBy>Baker, Brooke</cp:lastModifiedBy>
  <cp:revision/>
  <dcterms:created xsi:type="dcterms:W3CDTF">2018-02-08T15:05:09Z</dcterms:created>
  <dcterms:modified xsi:type="dcterms:W3CDTF">2026-07-09T18:49:32Z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b8f4d7-14bc-4a30-8a91-299e587fa409_Enabled">
    <vt:lpwstr>true</vt:lpwstr>
  </property>
  <property fmtid="{D5CDD505-2E9C-101B-9397-08002B2CF9AE}" pid="3" name="MSIP_Label_d5b8f4d7-14bc-4a30-8a91-299e587fa409_SetDate">
    <vt:lpwstr>2021-09-09T23:03:41Z</vt:lpwstr>
  </property>
  <property fmtid="{D5CDD505-2E9C-101B-9397-08002B2CF9AE}" pid="4" name="MSIP_Label_d5b8f4d7-14bc-4a30-8a91-299e587fa409_Method">
    <vt:lpwstr>Privileged</vt:lpwstr>
  </property>
  <property fmtid="{D5CDD505-2E9C-101B-9397-08002B2CF9AE}" pid="5" name="MSIP_Label_d5b8f4d7-14bc-4a30-8a91-299e587fa409_Name">
    <vt:lpwstr>PG - Restricted</vt:lpwstr>
  </property>
  <property fmtid="{D5CDD505-2E9C-101B-9397-08002B2CF9AE}" pid="6" name="MSIP_Label_d5b8f4d7-14bc-4a30-8a91-299e587fa409_SiteId">
    <vt:lpwstr>3596192b-fdf5-4e2c-a6fa-acb706c963d8</vt:lpwstr>
  </property>
  <property fmtid="{D5CDD505-2E9C-101B-9397-08002B2CF9AE}" pid="7" name="MSIP_Label_d5b8f4d7-14bc-4a30-8a91-299e587fa409_ContentBits">
    <vt:lpwstr>1</vt:lpwstr>
  </property>
</Properties>
</file>